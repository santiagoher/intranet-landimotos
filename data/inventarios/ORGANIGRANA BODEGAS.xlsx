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0.251\inventarios\"/>
    </mc:Choice>
  </mc:AlternateContent>
  <xr:revisionPtr revIDLastSave="0" documentId="13_ncr:1_{D0D9496F-1E03-4B62-B47D-9DA90A3ED202}" xr6:coauthVersionLast="47" xr6:coauthVersionMax="47" xr10:uidLastSave="{00000000-0000-0000-0000-000000000000}"/>
  <workbookProtection lockStructure="1"/>
  <bookViews>
    <workbookView xWindow="-120" yWindow="-120" windowWidth="29040" windowHeight="15720" activeTab="3" xr2:uid="{00000000-000D-0000-FFFF-FFFF00000000}"/>
  </bookViews>
  <sheets>
    <sheet name="BODEGA 1" sheetId="1" r:id="rId1"/>
    <sheet name="BODEGA 2" sheetId="6" r:id="rId2"/>
    <sheet name="BODEGA 3" sheetId="5" r:id="rId3"/>
    <sheet name="BODEGA 4" sheetId="2" r:id="rId4"/>
    <sheet name="BODEGA 21" sheetId="3" r:id="rId5"/>
    <sheet name="BODEGA 22" sheetId="4" r:id="rId6"/>
  </sheets>
  <definedNames>
    <definedName name="_xlnm._FilterDatabase" localSheetId="1" hidden="1">'BODEGA 2'!$A$2:$R$2</definedName>
    <definedName name="_xlnm._FilterDatabase" localSheetId="2" hidden="1">'BODEGA 3'!$B$2:$L$2</definedName>
  </definedNames>
  <calcPr calcId="18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1" i="2" l="1"/>
  <c r="L61" i="2" s="1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4" i="1"/>
  <c r="A3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5" i="1"/>
  <c r="A6" i="1"/>
  <c r="K3" i="1"/>
  <c r="K4" i="4" l="1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L3" i="4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52" i="3"/>
  <c r="L52" i="3" s="1"/>
  <c r="K53" i="3"/>
  <c r="L53" i="3" s="1"/>
  <c r="K54" i="3"/>
  <c r="L54" i="3" s="1"/>
  <c r="K55" i="3"/>
  <c r="L55" i="3" s="1"/>
  <c r="K56" i="3"/>
  <c r="L56" i="3" s="1"/>
  <c r="K57" i="3"/>
  <c r="L57" i="3" s="1"/>
  <c r="K58" i="3"/>
  <c r="L58" i="3" s="1"/>
  <c r="K59" i="3"/>
  <c r="L59" i="3" s="1"/>
  <c r="K60" i="3"/>
  <c r="L60" i="3" s="1"/>
  <c r="K61" i="3"/>
  <c r="L61" i="3" s="1"/>
  <c r="K62" i="3"/>
  <c r="L62" i="3" s="1"/>
  <c r="K63" i="3"/>
  <c r="L63" i="3" s="1"/>
  <c r="K64" i="3"/>
  <c r="L64" i="3" s="1"/>
  <c r="K65" i="3"/>
  <c r="L65" i="3" s="1"/>
  <c r="K66" i="3"/>
  <c r="L66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73" i="3"/>
  <c r="L73" i="3" s="1"/>
  <c r="K74" i="3"/>
  <c r="L74" i="3" s="1"/>
  <c r="K75" i="3"/>
  <c r="L75" i="3" s="1"/>
  <c r="K76" i="3"/>
  <c r="L76" i="3" s="1"/>
  <c r="K77" i="3"/>
  <c r="L77" i="3" s="1"/>
  <c r="K78" i="3"/>
  <c r="L78" i="3" s="1"/>
  <c r="K79" i="3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L120" i="3" s="1"/>
  <c r="K121" i="3"/>
  <c r="L121" i="3" s="1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K152" i="3"/>
  <c r="L152" i="3" s="1"/>
  <c r="K153" i="3"/>
  <c r="L153" i="3" s="1"/>
  <c r="K154" i="3"/>
  <c r="L154" i="3" s="1"/>
  <c r="K155" i="3"/>
  <c r="L155" i="3" s="1"/>
  <c r="K156" i="3"/>
  <c r="L156" i="3" s="1"/>
  <c r="K157" i="3"/>
  <c r="L157" i="3" s="1"/>
  <c r="K3" i="3"/>
  <c r="L3" i="3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3" i="2"/>
  <c r="L3" i="2" s="1"/>
  <c r="K61" i="5"/>
  <c r="L61" i="5" s="1"/>
  <c r="K132" i="5"/>
  <c r="L132" i="5" s="1"/>
  <c r="K178" i="5"/>
  <c r="L178" i="5" s="1"/>
  <c r="K21" i="5"/>
  <c r="L21" i="5" s="1"/>
  <c r="K155" i="5"/>
  <c r="L155" i="5" s="1"/>
  <c r="K20" i="5"/>
  <c r="L20" i="5" s="1"/>
  <c r="K218" i="5"/>
  <c r="L218" i="5" s="1"/>
  <c r="K32" i="5"/>
  <c r="L32" i="5" s="1"/>
  <c r="K73" i="5"/>
  <c r="L73" i="5" s="1"/>
  <c r="K176" i="5"/>
  <c r="L176" i="5" s="1"/>
  <c r="K177" i="5"/>
  <c r="L177" i="5" s="1"/>
  <c r="K14" i="5"/>
  <c r="L14" i="5" s="1"/>
  <c r="K150" i="5"/>
  <c r="L150" i="5" s="1"/>
  <c r="K252" i="5"/>
  <c r="L252" i="5" s="1"/>
  <c r="K158" i="5"/>
  <c r="L158" i="5" s="1"/>
  <c r="K27" i="5"/>
  <c r="L27" i="5" s="1"/>
  <c r="K139" i="5"/>
  <c r="L139" i="5" s="1"/>
  <c r="K130" i="5"/>
  <c r="L130" i="5" s="1"/>
  <c r="K70" i="5"/>
  <c r="L70" i="5" s="1"/>
  <c r="K48" i="5"/>
  <c r="L48" i="5" s="1"/>
  <c r="K217" i="5"/>
  <c r="L217" i="5" s="1"/>
  <c r="K147" i="5"/>
  <c r="L147" i="5" s="1"/>
  <c r="K137" i="5"/>
  <c r="L137" i="5" s="1"/>
  <c r="K41" i="5"/>
  <c r="L41" i="5" s="1"/>
  <c r="K125" i="5"/>
  <c r="L125" i="5" s="1"/>
  <c r="K15" i="5"/>
  <c r="L15" i="5" s="1"/>
  <c r="K10" i="5"/>
  <c r="L10" i="5" s="1"/>
  <c r="K162" i="5"/>
  <c r="L162" i="5" s="1"/>
  <c r="K171" i="5"/>
  <c r="L171" i="5" s="1"/>
  <c r="K165" i="5"/>
  <c r="L165" i="5" s="1"/>
  <c r="K60" i="5"/>
  <c r="L60" i="5" s="1"/>
  <c r="K133" i="5"/>
  <c r="L133" i="5" s="1"/>
  <c r="K29" i="5"/>
  <c r="L29" i="5" s="1"/>
  <c r="K220" i="5"/>
  <c r="L220" i="5" s="1"/>
  <c r="K37" i="5"/>
  <c r="L37" i="5" s="1"/>
  <c r="K33" i="5"/>
  <c r="L33" i="5" s="1"/>
  <c r="K213" i="5"/>
  <c r="L213" i="5" s="1"/>
  <c r="K9" i="5"/>
  <c r="L9" i="5" s="1"/>
  <c r="K215" i="5"/>
  <c r="L215" i="5" s="1"/>
  <c r="K205" i="5"/>
  <c r="L205" i="5" s="1"/>
  <c r="K111" i="5"/>
  <c r="L111" i="5" s="1"/>
  <c r="K244" i="5"/>
  <c r="L244" i="5" s="1"/>
  <c r="K71" i="5"/>
  <c r="L71" i="5" s="1"/>
  <c r="K76" i="5"/>
  <c r="L76" i="5" s="1"/>
  <c r="K243" i="5"/>
  <c r="L243" i="5" s="1"/>
  <c r="K188" i="5"/>
  <c r="L188" i="5" s="1"/>
  <c r="K240" i="5"/>
  <c r="L240" i="5" s="1"/>
  <c r="K248" i="5"/>
  <c r="L248" i="5" s="1"/>
  <c r="K144" i="5"/>
  <c r="L144" i="5" s="1"/>
  <c r="K135" i="5"/>
  <c r="L135" i="5" s="1"/>
  <c r="K216" i="5"/>
  <c r="L216" i="5" s="1"/>
  <c r="K99" i="5"/>
  <c r="L99" i="5" s="1"/>
  <c r="K4" i="5"/>
  <c r="L4" i="5" s="1"/>
  <c r="K112" i="5"/>
  <c r="L112" i="5" s="1"/>
  <c r="K3" i="5"/>
  <c r="L3" i="5" s="1"/>
  <c r="K173" i="5"/>
  <c r="L173" i="5" s="1"/>
  <c r="K172" i="5"/>
  <c r="L172" i="5" s="1"/>
  <c r="K93" i="5"/>
  <c r="L93" i="5" s="1"/>
  <c r="K109" i="5"/>
  <c r="L109" i="5" s="1"/>
  <c r="K31" i="5"/>
  <c r="L31" i="5" s="1"/>
  <c r="K30" i="5"/>
  <c r="L30" i="5" s="1"/>
  <c r="K88" i="5"/>
  <c r="L88" i="5" s="1"/>
  <c r="K84" i="5"/>
  <c r="L84" i="5" s="1"/>
  <c r="K86" i="5"/>
  <c r="L86" i="5" s="1"/>
  <c r="K77" i="5"/>
  <c r="L77" i="5" s="1"/>
  <c r="K8" i="5"/>
  <c r="L8" i="5" s="1"/>
  <c r="K136" i="5"/>
  <c r="L136" i="5" s="1"/>
  <c r="K98" i="5"/>
  <c r="L98" i="5" s="1"/>
  <c r="K106" i="5"/>
  <c r="L106" i="5" s="1"/>
  <c r="K104" i="5"/>
  <c r="L104" i="5" s="1"/>
  <c r="K153" i="5"/>
  <c r="L153" i="5" s="1"/>
  <c r="K142" i="5"/>
  <c r="L142" i="5" s="1"/>
  <c r="K154" i="5"/>
  <c r="L154" i="5" s="1"/>
  <c r="K38" i="5"/>
  <c r="L38" i="5" s="1"/>
  <c r="K120" i="5"/>
  <c r="L120" i="5" s="1"/>
  <c r="K123" i="5"/>
  <c r="L123" i="5" s="1"/>
  <c r="K119" i="5"/>
  <c r="L119" i="5" s="1"/>
  <c r="K121" i="5"/>
  <c r="L121" i="5" s="1"/>
  <c r="K124" i="5"/>
  <c r="L124" i="5" s="1"/>
  <c r="K122" i="5"/>
  <c r="L122" i="5" s="1"/>
  <c r="K167" i="5"/>
  <c r="L167" i="5" s="1"/>
  <c r="K82" i="5"/>
  <c r="L82" i="5" s="1"/>
  <c r="K85" i="5"/>
  <c r="L85" i="5" s="1"/>
  <c r="K169" i="5"/>
  <c r="L169" i="5" s="1"/>
  <c r="K83" i="5"/>
  <c r="L83" i="5" s="1"/>
  <c r="K168" i="5"/>
  <c r="L168" i="5" s="1"/>
  <c r="K81" i="5"/>
  <c r="L81" i="5" s="1"/>
  <c r="K57" i="5"/>
  <c r="L57" i="5" s="1"/>
  <c r="K16" i="5"/>
  <c r="L16" i="5" s="1"/>
  <c r="K166" i="5"/>
  <c r="L166" i="5" s="1"/>
  <c r="K17" i="5"/>
  <c r="L17" i="5" s="1"/>
  <c r="K129" i="5"/>
  <c r="L129" i="5" s="1"/>
  <c r="K40" i="5"/>
  <c r="L40" i="5" s="1"/>
  <c r="K134" i="5"/>
  <c r="L134" i="5" s="1"/>
  <c r="K92" i="5"/>
  <c r="L92" i="5" s="1"/>
  <c r="K138" i="5"/>
  <c r="L138" i="5" s="1"/>
  <c r="K95" i="5"/>
  <c r="L95" i="5" s="1"/>
  <c r="K90" i="5"/>
  <c r="L90" i="5" s="1"/>
  <c r="K89" i="5"/>
  <c r="L89" i="5" s="1"/>
  <c r="K91" i="5"/>
  <c r="L91" i="5" s="1"/>
  <c r="K94" i="5"/>
  <c r="L94" i="5" s="1"/>
  <c r="K242" i="5"/>
  <c r="L242" i="5" s="1"/>
  <c r="K234" i="5"/>
  <c r="L234" i="5" s="1"/>
  <c r="K160" i="5"/>
  <c r="L160" i="5" s="1"/>
  <c r="K18" i="5"/>
  <c r="L18" i="5" s="1"/>
  <c r="K19" i="5"/>
  <c r="L19" i="5" s="1"/>
  <c r="K246" i="5"/>
  <c r="L246" i="5" s="1"/>
  <c r="K110" i="5"/>
  <c r="L110" i="5" s="1"/>
  <c r="K74" i="5"/>
  <c r="L74" i="5" s="1"/>
  <c r="K179" i="5"/>
  <c r="L179" i="5" s="1"/>
  <c r="K7" i="5"/>
  <c r="L7" i="5" s="1"/>
  <c r="K97" i="5"/>
  <c r="L97" i="5" s="1"/>
  <c r="K219" i="5"/>
  <c r="L219" i="5" s="1"/>
  <c r="K56" i="5"/>
  <c r="L56" i="5" s="1"/>
  <c r="K149" i="5"/>
  <c r="L149" i="5" s="1"/>
  <c r="K239" i="5"/>
  <c r="L239" i="5" s="1"/>
  <c r="K175" i="5"/>
  <c r="L175" i="5" s="1"/>
  <c r="K127" i="5"/>
  <c r="L127" i="5" s="1"/>
  <c r="K101" i="5"/>
  <c r="L101" i="5" s="1"/>
  <c r="K34" i="5"/>
  <c r="L34" i="5" s="1"/>
  <c r="K126" i="5"/>
  <c r="L126" i="5" s="1"/>
  <c r="K24" i="5"/>
  <c r="L24" i="5" s="1"/>
  <c r="K58" i="5"/>
  <c r="L58" i="5" s="1"/>
  <c r="K211" i="5"/>
  <c r="L211" i="5" s="1"/>
  <c r="K87" i="5"/>
  <c r="L87" i="5" s="1"/>
  <c r="K49" i="5"/>
  <c r="L49" i="5" s="1"/>
  <c r="K198" i="5"/>
  <c r="L198" i="5" s="1"/>
  <c r="K156" i="5"/>
  <c r="L156" i="5" s="1"/>
  <c r="K55" i="5"/>
  <c r="L55" i="5" s="1"/>
  <c r="K186" i="5"/>
  <c r="L186" i="5" s="1"/>
  <c r="K222" i="5"/>
  <c r="L222" i="5" s="1"/>
  <c r="K151" i="5"/>
  <c r="L151" i="5" s="1"/>
  <c r="K221" i="5"/>
  <c r="L221" i="5" s="1"/>
  <c r="K201" i="5"/>
  <c r="L201" i="5" s="1"/>
  <c r="K191" i="5"/>
  <c r="L191" i="5" s="1"/>
  <c r="K196" i="5"/>
  <c r="L196" i="5" s="1"/>
  <c r="K229" i="5"/>
  <c r="L229" i="5" s="1"/>
  <c r="K102" i="5"/>
  <c r="L102" i="5" s="1"/>
  <c r="K5" i="5"/>
  <c r="L5" i="5" s="1"/>
  <c r="K207" i="5"/>
  <c r="L207" i="5" s="1"/>
  <c r="K46" i="5"/>
  <c r="L46" i="5" s="1"/>
  <c r="K47" i="5"/>
  <c r="L47" i="5" s="1"/>
  <c r="K69" i="5"/>
  <c r="L69" i="5" s="1"/>
  <c r="K227" i="5"/>
  <c r="L227" i="5" s="1"/>
  <c r="K200" i="5"/>
  <c r="L200" i="5" s="1"/>
  <c r="K174" i="5"/>
  <c r="L174" i="5" s="1"/>
  <c r="K64" i="5"/>
  <c r="L64" i="5" s="1"/>
  <c r="K210" i="5"/>
  <c r="L210" i="5" s="1"/>
  <c r="K152" i="5"/>
  <c r="L152" i="5" s="1"/>
  <c r="K194" i="5"/>
  <c r="L194" i="5" s="1"/>
  <c r="K114" i="5"/>
  <c r="L114" i="5" s="1"/>
  <c r="K157" i="5"/>
  <c r="L157" i="5" s="1"/>
  <c r="K140" i="5"/>
  <c r="L140" i="5" s="1"/>
  <c r="K193" i="5"/>
  <c r="L193" i="5" s="1"/>
  <c r="K249" i="5"/>
  <c r="L249" i="5" s="1"/>
  <c r="K164" i="5"/>
  <c r="L164" i="5" s="1"/>
  <c r="K59" i="5"/>
  <c r="L59" i="5" s="1"/>
  <c r="K68" i="5"/>
  <c r="L68" i="5" s="1"/>
  <c r="K62" i="5"/>
  <c r="L62" i="5" s="1"/>
  <c r="K247" i="5"/>
  <c r="L247" i="5" s="1"/>
  <c r="K25" i="5"/>
  <c r="L25" i="5" s="1"/>
  <c r="K26" i="5"/>
  <c r="L26" i="5" s="1"/>
  <c r="K108" i="5"/>
  <c r="L108" i="5" s="1"/>
  <c r="K128" i="5"/>
  <c r="L128" i="5" s="1"/>
  <c r="K212" i="5"/>
  <c r="L212" i="5" s="1"/>
  <c r="K96" i="5"/>
  <c r="L96" i="5" s="1"/>
  <c r="K181" i="5"/>
  <c r="L181" i="5" s="1"/>
  <c r="K209" i="5"/>
  <c r="L209" i="5" s="1"/>
  <c r="K11" i="5"/>
  <c r="L11" i="5" s="1"/>
  <c r="K182" i="5"/>
  <c r="L182" i="5" s="1"/>
  <c r="K187" i="5"/>
  <c r="L187" i="5" s="1"/>
  <c r="K143" i="5"/>
  <c r="L143" i="5" s="1"/>
  <c r="K228" i="5"/>
  <c r="L228" i="5" s="1"/>
  <c r="K105" i="5"/>
  <c r="L105" i="5" s="1"/>
  <c r="K146" i="5"/>
  <c r="L146" i="5" s="1"/>
  <c r="K107" i="5"/>
  <c r="L107" i="5" s="1"/>
  <c r="K78" i="5"/>
  <c r="L78" i="5" s="1"/>
  <c r="K79" i="5"/>
  <c r="L79" i="5" s="1"/>
  <c r="K161" i="5"/>
  <c r="L161" i="5" s="1"/>
  <c r="K75" i="5"/>
  <c r="L75" i="5" s="1"/>
  <c r="K131" i="5"/>
  <c r="L131" i="5" s="1"/>
  <c r="K50" i="5"/>
  <c r="L50" i="5" s="1"/>
  <c r="K170" i="5"/>
  <c r="L170" i="5" s="1"/>
  <c r="K148" i="5"/>
  <c r="L148" i="5" s="1"/>
  <c r="K80" i="5"/>
  <c r="L80" i="5" s="1"/>
  <c r="K192" i="5"/>
  <c r="L192" i="5" s="1"/>
  <c r="K190" i="5"/>
  <c r="L190" i="5" s="1"/>
  <c r="K67" i="5"/>
  <c r="L67" i="5" s="1"/>
  <c r="K22" i="5"/>
  <c r="L22" i="5" s="1"/>
  <c r="K225" i="5"/>
  <c r="L225" i="5" s="1"/>
  <c r="K72" i="5"/>
  <c r="L72" i="5" s="1"/>
  <c r="K113" i="5"/>
  <c r="L113" i="5" s="1"/>
  <c r="K66" i="5"/>
  <c r="L66" i="5" s="1"/>
  <c r="K65" i="5"/>
  <c r="L65" i="5" s="1"/>
  <c r="K254" i="5"/>
  <c r="L254" i="5" s="1"/>
  <c r="K36" i="5"/>
  <c r="L36" i="5" s="1"/>
  <c r="K35" i="5"/>
  <c r="L35" i="5" s="1"/>
  <c r="K250" i="5"/>
  <c r="L250" i="5" s="1"/>
  <c r="K42" i="5"/>
  <c r="L42" i="5" s="1"/>
  <c r="K245" i="5"/>
  <c r="L245" i="5" s="1"/>
  <c r="K184" i="5"/>
  <c r="L184" i="5" s="1"/>
  <c r="K183" i="5"/>
  <c r="L183" i="5" s="1"/>
  <c r="K44" i="5"/>
  <c r="L44" i="5" s="1"/>
  <c r="K45" i="5"/>
  <c r="L45" i="5" s="1"/>
  <c r="K185" i="5"/>
  <c r="L185" i="5" s="1"/>
  <c r="K208" i="5"/>
  <c r="L208" i="5" s="1"/>
  <c r="K103" i="5"/>
  <c r="L103" i="5" s="1"/>
  <c r="K226" i="5"/>
  <c r="L226" i="5" s="1"/>
  <c r="K251" i="5"/>
  <c r="L251" i="5" s="1"/>
  <c r="K204" i="5"/>
  <c r="L204" i="5" s="1"/>
  <c r="K115" i="5"/>
  <c r="L115" i="5" s="1"/>
  <c r="K180" i="5"/>
  <c r="L180" i="5" s="1"/>
  <c r="K12" i="5"/>
  <c r="L12" i="5" s="1"/>
  <c r="K199" i="5"/>
  <c r="L199" i="5" s="1"/>
  <c r="K206" i="5"/>
  <c r="L206" i="5" s="1"/>
  <c r="K43" i="5"/>
  <c r="L43" i="5" s="1"/>
  <c r="K233" i="5"/>
  <c r="L233" i="5" s="1"/>
  <c r="K241" i="5"/>
  <c r="L241" i="5" s="1"/>
  <c r="K230" i="5"/>
  <c r="L230" i="5" s="1"/>
  <c r="K238" i="5"/>
  <c r="L238" i="5" s="1"/>
  <c r="K223" i="5"/>
  <c r="L223" i="5" s="1"/>
  <c r="K224" i="5"/>
  <c r="L224" i="5" s="1"/>
  <c r="K51" i="5"/>
  <c r="L51" i="5" s="1"/>
  <c r="K235" i="5"/>
  <c r="L235" i="5" s="1"/>
  <c r="K189" i="5"/>
  <c r="L189" i="5" s="1"/>
  <c r="K232" i="5"/>
  <c r="L232" i="5" s="1"/>
  <c r="K52" i="5"/>
  <c r="L52" i="5" s="1"/>
  <c r="K197" i="5"/>
  <c r="L197" i="5" s="1"/>
  <c r="K253" i="5"/>
  <c r="L253" i="5" s="1"/>
  <c r="K202" i="5"/>
  <c r="L202" i="5" s="1"/>
  <c r="K53" i="5"/>
  <c r="L53" i="5" s="1"/>
  <c r="K54" i="5"/>
  <c r="L54" i="5" s="1"/>
  <c r="K237" i="5"/>
  <c r="L237" i="5" s="1"/>
  <c r="K63" i="5"/>
  <c r="L63" i="5" s="1"/>
  <c r="K6" i="5"/>
  <c r="L6" i="5" s="1"/>
  <c r="K236" i="5"/>
  <c r="L236" i="5" s="1"/>
  <c r="K118" i="5"/>
  <c r="L118" i="5" s="1"/>
  <c r="K117" i="5"/>
  <c r="L117" i="5" s="1"/>
  <c r="K203" i="5"/>
  <c r="L203" i="5" s="1"/>
  <c r="K13" i="5"/>
  <c r="L13" i="5" s="1"/>
  <c r="K116" i="5"/>
  <c r="L116" i="5" s="1"/>
  <c r="K159" i="5"/>
  <c r="L159" i="5" s="1"/>
  <c r="K145" i="5"/>
  <c r="L145" i="5" s="1"/>
  <c r="K195" i="5"/>
  <c r="L195" i="5" s="1"/>
  <c r="K231" i="5"/>
  <c r="L231" i="5" s="1"/>
  <c r="K214" i="5"/>
  <c r="L214" i="5" s="1"/>
  <c r="K141" i="5"/>
  <c r="L141" i="5" s="1"/>
  <c r="K39" i="5"/>
  <c r="L39" i="5" s="1"/>
  <c r="K100" i="5"/>
  <c r="L100" i="5" s="1"/>
  <c r="K163" i="5"/>
  <c r="L163" i="5" s="1"/>
  <c r="K28" i="5"/>
  <c r="L28" i="5" s="1"/>
  <c r="K23" i="5"/>
  <c r="L23" i="5" s="1"/>
  <c r="K3" i="6"/>
  <c r="L3" i="6" s="1"/>
  <c r="K4" i="6"/>
  <c r="L4" i="6" s="1"/>
  <c r="K5" i="6"/>
  <c r="L5" i="6" s="1"/>
  <c r="K6" i="6"/>
  <c r="L6" i="6" s="1"/>
  <c r="K7" i="6"/>
  <c r="L7" i="6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2" i="6"/>
  <c r="L152" i="6" s="1"/>
  <c r="K153" i="6"/>
  <c r="L153" i="6" s="1"/>
  <c r="K154" i="6"/>
  <c r="L154" i="6" s="1"/>
  <c r="K155" i="6"/>
  <c r="L155" i="6" s="1"/>
  <c r="K156" i="6"/>
  <c r="L156" i="6" s="1"/>
  <c r="K157" i="6"/>
  <c r="L157" i="6" s="1"/>
  <c r="K158" i="6"/>
  <c r="L158" i="6" s="1"/>
  <c r="K159" i="6"/>
  <c r="L159" i="6" s="1"/>
  <c r="K160" i="6"/>
  <c r="L160" i="6" s="1"/>
  <c r="K161" i="6"/>
  <c r="L161" i="6" s="1"/>
  <c r="K162" i="6"/>
  <c r="L162" i="6" s="1"/>
  <c r="K163" i="6"/>
  <c r="L163" i="6" s="1"/>
  <c r="K164" i="6"/>
  <c r="L164" i="6" s="1"/>
  <c r="K165" i="6"/>
  <c r="L165" i="6" s="1"/>
  <c r="K166" i="6"/>
  <c r="L166" i="6" s="1"/>
  <c r="K167" i="6"/>
  <c r="L167" i="6" s="1"/>
  <c r="K168" i="6"/>
  <c r="L168" i="6" s="1"/>
  <c r="K169" i="6"/>
  <c r="L169" i="6" s="1"/>
  <c r="K170" i="6"/>
  <c r="L170" i="6" s="1"/>
  <c r="K171" i="6"/>
  <c r="L171" i="6" s="1"/>
  <c r="K172" i="6"/>
  <c r="L172" i="6" s="1"/>
  <c r="K173" i="6"/>
  <c r="L173" i="6" s="1"/>
  <c r="K174" i="6"/>
  <c r="L174" i="6" s="1"/>
  <c r="K175" i="6"/>
  <c r="L175" i="6" s="1"/>
  <c r="K176" i="6"/>
  <c r="L176" i="6" s="1"/>
  <c r="K177" i="6"/>
  <c r="L177" i="6" s="1"/>
  <c r="K178" i="6"/>
  <c r="L178" i="6" s="1"/>
  <c r="K179" i="6"/>
  <c r="L179" i="6" s="1"/>
  <c r="K180" i="6"/>
  <c r="L180" i="6" s="1"/>
  <c r="K181" i="6"/>
  <c r="L181" i="6" s="1"/>
  <c r="K182" i="6"/>
  <c r="L182" i="6" s="1"/>
  <c r="K183" i="6"/>
  <c r="L183" i="6" s="1"/>
  <c r="K184" i="6"/>
  <c r="L184" i="6" s="1"/>
  <c r="K185" i="6"/>
  <c r="L185" i="6" s="1"/>
  <c r="K186" i="6"/>
  <c r="L186" i="6" s="1"/>
  <c r="K187" i="6"/>
  <c r="L187" i="6" s="1"/>
  <c r="K188" i="6"/>
  <c r="L188" i="6" s="1"/>
  <c r="K189" i="6"/>
  <c r="L189" i="6" s="1"/>
  <c r="K190" i="6"/>
  <c r="L190" i="6" s="1"/>
  <c r="K191" i="6"/>
  <c r="L191" i="6" s="1"/>
  <c r="K192" i="6"/>
  <c r="L192" i="6" s="1"/>
  <c r="K193" i="6"/>
  <c r="L193" i="6" s="1"/>
  <c r="K194" i="6"/>
  <c r="L194" i="6" s="1"/>
  <c r="K195" i="6"/>
  <c r="L195" i="6" s="1"/>
  <c r="K196" i="6"/>
  <c r="L196" i="6" s="1"/>
  <c r="K197" i="6"/>
  <c r="L197" i="6" s="1"/>
  <c r="K198" i="6"/>
  <c r="L198" i="6" s="1"/>
  <c r="K199" i="6"/>
  <c r="L199" i="6" s="1"/>
  <c r="K200" i="6"/>
  <c r="L200" i="6" s="1"/>
  <c r="K201" i="6"/>
  <c r="L201" i="6" s="1"/>
  <c r="K202" i="6"/>
  <c r="L202" i="6" s="1"/>
  <c r="K203" i="6"/>
  <c r="L203" i="6" s="1"/>
  <c r="K204" i="6"/>
  <c r="L204" i="6" s="1"/>
  <c r="K205" i="6"/>
  <c r="L205" i="6" s="1"/>
  <c r="K206" i="6"/>
  <c r="L206" i="6" s="1"/>
  <c r="K207" i="6"/>
  <c r="L207" i="6" s="1"/>
  <c r="K208" i="6"/>
  <c r="L208" i="6" s="1"/>
  <c r="K209" i="6"/>
  <c r="L209" i="6" s="1"/>
  <c r="K210" i="6"/>
  <c r="L210" i="6" s="1"/>
  <c r="K211" i="6"/>
  <c r="L211" i="6" s="1"/>
  <c r="K212" i="6"/>
  <c r="L212" i="6" s="1"/>
  <c r="K213" i="6"/>
  <c r="L213" i="6" s="1"/>
  <c r="K214" i="6"/>
  <c r="L214" i="6" s="1"/>
  <c r="K215" i="6"/>
  <c r="L215" i="6" s="1"/>
  <c r="K216" i="6"/>
  <c r="L216" i="6" s="1"/>
  <c r="K217" i="6"/>
  <c r="L217" i="6" s="1"/>
  <c r="K218" i="6"/>
  <c r="L218" i="6" s="1"/>
  <c r="K219" i="6"/>
  <c r="L219" i="6" s="1"/>
  <c r="K220" i="6"/>
  <c r="L220" i="6" s="1"/>
  <c r="K221" i="6"/>
  <c r="L221" i="6" s="1"/>
  <c r="K222" i="6"/>
  <c r="L222" i="6" s="1"/>
  <c r="K223" i="6"/>
  <c r="L223" i="6" s="1"/>
  <c r="K224" i="6"/>
  <c r="L224" i="6" s="1"/>
  <c r="K225" i="6"/>
  <c r="L225" i="6" s="1"/>
  <c r="K226" i="6"/>
  <c r="L226" i="6" s="1"/>
  <c r="K227" i="6"/>
  <c r="L227" i="6" s="1"/>
  <c r="K228" i="6"/>
  <c r="L228" i="6" s="1"/>
  <c r="K229" i="6"/>
  <c r="L229" i="6" s="1"/>
  <c r="K230" i="6"/>
  <c r="L230" i="6" s="1"/>
  <c r="K231" i="6"/>
  <c r="L231" i="6" s="1"/>
  <c r="K232" i="6"/>
  <c r="L232" i="6" s="1"/>
  <c r="K233" i="6"/>
  <c r="L233" i="6" s="1"/>
  <c r="K234" i="6"/>
  <c r="L234" i="6" s="1"/>
  <c r="K235" i="6"/>
  <c r="L235" i="6" s="1"/>
  <c r="K236" i="6"/>
  <c r="L236" i="6" s="1"/>
  <c r="K237" i="6"/>
  <c r="L237" i="6" s="1"/>
  <c r="K238" i="6"/>
  <c r="L238" i="6" s="1"/>
  <c r="K239" i="6"/>
  <c r="L239" i="6" s="1"/>
  <c r="K240" i="6"/>
  <c r="L240" i="6" s="1"/>
  <c r="K241" i="6"/>
  <c r="L241" i="6" s="1"/>
  <c r="K242" i="6"/>
  <c r="L242" i="6" s="1"/>
  <c r="K243" i="6"/>
  <c r="L243" i="6" s="1"/>
  <c r="K244" i="6"/>
  <c r="L244" i="6" s="1"/>
  <c r="K245" i="6"/>
  <c r="L245" i="6" s="1"/>
  <c r="K246" i="6"/>
  <c r="L246" i="6" s="1"/>
  <c r="K247" i="6"/>
  <c r="L247" i="6" s="1"/>
  <c r="K248" i="6"/>
  <c r="L248" i="6" s="1"/>
  <c r="K249" i="6"/>
  <c r="L249" i="6" s="1"/>
  <c r="K250" i="6"/>
  <c r="L250" i="6" s="1"/>
  <c r="K251" i="6"/>
  <c r="L251" i="6" s="1"/>
  <c r="K252" i="6"/>
  <c r="L252" i="6" s="1"/>
  <c r="K253" i="6"/>
  <c r="L253" i="6" s="1"/>
  <c r="K254" i="6"/>
  <c r="L254" i="6" s="1"/>
  <c r="K255" i="6"/>
  <c r="L255" i="6" s="1"/>
  <c r="K256" i="6"/>
  <c r="L256" i="6" s="1"/>
  <c r="K257" i="6"/>
  <c r="L257" i="6" s="1"/>
  <c r="K258" i="6"/>
  <c r="L258" i="6" s="1"/>
  <c r="K259" i="6"/>
  <c r="L259" i="6" s="1"/>
  <c r="K260" i="6"/>
  <c r="L260" i="6" s="1"/>
  <c r="K261" i="6"/>
  <c r="L261" i="6" s="1"/>
  <c r="K262" i="6"/>
  <c r="L262" i="6" s="1"/>
  <c r="K263" i="6"/>
  <c r="L263" i="6" s="1"/>
  <c r="K264" i="6"/>
  <c r="L264" i="6" s="1"/>
  <c r="K265" i="6"/>
  <c r="L265" i="6" s="1"/>
  <c r="K266" i="6"/>
  <c r="L266" i="6" s="1"/>
  <c r="K267" i="6"/>
  <c r="L267" i="6" s="1"/>
  <c r="K268" i="6"/>
  <c r="L268" i="6" s="1"/>
  <c r="K269" i="6"/>
  <c r="L269" i="6" s="1"/>
  <c r="K270" i="6"/>
  <c r="L270" i="6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L3" i="1"/>
  <c r="P3" i="4" l="1"/>
  <c r="N3" i="4"/>
  <c r="O3" i="4"/>
  <c r="P3" i="3"/>
  <c r="N3" i="3"/>
  <c r="O3" i="3"/>
  <c r="P3" i="2"/>
  <c r="P3" i="5"/>
  <c r="N3" i="2"/>
  <c r="O3" i="2"/>
  <c r="N3" i="5"/>
  <c r="O3" i="5"/>
  <c r="P3" i="6"/>
  <c r="N3" i="6"/>
  <c r="O3" i="6"/>
  <c r="P3" i="1"/>
  <c r="O3" i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BODEGA001 LANDIMOTOS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BODEGA001 LANDIMOTOS: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JHONATAN</author>
  </authors>
  <commentList>
    <comment ref="F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Unidades trocadas.</t>
        </r>
      </text>
    </comment>
    <comment ref="D4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 SE FINALIZA INVENTARIO DE BANDAS JAPAN</t>
        </r>
      </text>
    </comment>
  </commentList>
</comments>
</file>

<file path=xl/sharedStrings.xml><?xml version="1.0" encoding="utf-8"?>
<sst xmlns="http://schemas.openxmlformats.org/spreadsheetml/2006/main" count="1370" uniqueCount="654">
  <si>
    <t xml:space="preserve">CATERGORIA </t>
  </si>
  <si>
    <t xml:space="preserve">RESPONSABLE </t>
  </si>
  <si>
    <t>BABERO</t>
  </si>
  <si>
    <t>CADENAS</t>
  </si>
  <si>
    <t>CADENILLA</t>
  </si>
  <si>
    <t>CANDADO CADENA</t>
  </si>
  <si>
    <t>GUARDABARRO</t>
  </si>
  <si>
    <t>KIT DE ARRASTRE</t>
  </si>
  <si>
    <t>KIT PIÑONES</t>
  </si>
  <si>
    <t>KIXX GRAV</t>
  </si>
  <si>
    <t>LLANTAS</t>
  </si>
  <si>
    <t>LUBRICANTES EXCLUIDO</t>
  </si>
  <si>
    <t>LUBRICANTES GRAV</t>
  </si>
  <si>
    <t>REGULADOR</t>
  </si>
  <si>
    <t>RELAY</t>
  </si>
  <si>
    <t>ARRANQUE</t>
  </si>
  <si>
    <t>BALINERAS</t>
  </si>
  <si>
    <t>BANDAS</t>
  </si>
  <si>
    <t>BOBINA ALTA</t>
  </si>
  <si>
    <t>BOMBA FRENO</t>
  </si>
  <si>
    <t>BUJIAS</t>
  </si>
  <si>
    <t>C.D.I</t>
  </si>
  <si>
    <t>CABRILLA</t>
  </si>
  <si>
    <t>CAMPANAS</t>
  </si>
  <si>
    <t>CAPUCHON</t>
  </si>
  <si>
    <t>CARBURADORES</t>
  </si>
  <si>
    <t>CARENAJE</t>
  </si>
  <si>
    <t>CARPAS</t>
  </si>
  <si>
    <t>CATALINA</t>
  </si>
  <si>
    <t>CAUCHO CAMP.</t>
  </si>
  <si>
    <t>CAUCHO MANILAR</t>
  </si>
  <si>
    <t>CUNAS DIRECCION</t>
  </si>
  <si>
    <t>DIRECCIONALES</t>
  </si>
  <si>
    <t>DISCOS CLUTCH</t>
  </si>
  <si>
    <t>EJE DELANTERO</t>
  </si>
  <si>
    <t>EJE TRASERO</t>
  </si>
  <si>
    <t>EMBOBINADO</t>
  </si>
  <si>
    <t>ESPEJOS</t>
  </si>
  <si>
    <t>FILTRO ACEITE</t>
  </si>
  <si>
    <t>FILTRO AIRE</t>
  </si>
  <si>
    <t>FLASHER</t>
  </si>
  <si>
    <t>GUAYA ACEL</t>
  </si>
  <si>
    <t>GUAYA CLUTCH</t>
  </si>
  <si>
    <t xml:space="preserve">GUAYA FRENO </t>
  </si>
  <si>
    <t>GUAYA VEL.</t>
  </si>
  <si>
    <t>KIT BIELAS</t>
  </si>
  <si>
    <t>KIT CARBURADOR</t>
  </si>
  <si>
    <t>KIT PORTA DISCOS COM</t>
  </si>
  <si>
    <t>MANIGUETAS</t>
  </si>
  <si>
    <t>NEUMATICOS</t>
  </si>
  <si>
    <t>PASTILLAS</t>
  </si>
  <si>
    <t>PATA LATERAL</t>
  </si>
  <si>
    <t>PEDAL CAMBIOS</t>
  </si>
  <si>
    <t>PEDAL CRANK</t>
  </si>
  <si>
    <t>PIÑON DE SALIDA</t>
  </si>
  <si>
    <t>PORTABANDAS</t>
  </si>
  <si>
    <t>PORTACATALINA</t>
  </si>
  <si>
    <t>POSAPIES</t>
  </si>
  <si>
    <t>RADIOS</t>
  </si>
  <si>
    <t>RESORTE PATA LATERAL</t>
  </si>
  <si>
    <t>RINES</t>
  </si>
  <si>
    <t>SWICHE</t>
  </si>
  <si>
    <t>TANQUES</t>
  </si>
  <si>
    <t>TORNILLO</t>
  </si>
  <si>
    <t>VARILLA FRENO</t>
  </si>
  <si>
    <t>ABRAZADERAS</t>
  </si>
  <si>
    <t>ACELERADOR CUARTA</t>
  </si>
  <si>
    <t>AGARRADERAS</t>
  </si>
  <si>
    <t>ALETA FAROLA</t>
  </si>
  <si>
    <t>ALETA TANQUE</t>
  </si>
  <si>
    <t>ANILLOS</t>
  </si>
  <si>
    <t>ARBOL LEVAS</t>
  </si>
  <si>
    <t>BALANCIN</t>
  </si>
  <si>
    <t xml:space="preserve">PROTECTOR BARRAS </t>
  </si>
  <si>
    <t>BASE POSAPIES</t>
  </si>
  <si>
    <t>BASE VENTILADOR</t>
  </si>
  <si>
    <t>BASTAGO</t>
  </si>
  <si>
    <t>BOMBA ACEITE</t>
  </si>
  <si>
    <t>BOMBA GASOLINA</t>
  </si>
  <si>
    <t>BOMBILLOS</t>
  </si>
  <si>
    <t>CAJA DE CAMBIOS</t>
  </si>
  <si>
    <t>CAJA FILTRO</t>
  </si>
  <si>
    <t xml:space="preserve">CUERPO ACELERADOR </t>
  </si>
  <si>
    <t>CARCAZA MOTOR</t>
  </si>
  <si>
    <t>CHAPA COMPUERTA</t>
  </si>
  <si>
    <t xml:space="preserve">CLUTCH COMPLETO </t>
  </si>
  <si>
    <t>CIGUEÑAL</t>
  </si>
  <si>
    <t>CILINDROS</t>
  </si>
  <si>
    <t>COLA SILLIN</t>
  </si>
  <si>
    <t>COMANDOS</t>
  </si>
  <si>
    <t>CONECTOR EXOSTO</t>
  </si>
  <si>
    <t>CORONA CLUTCH</t>
  </si>
  <si>
    <t>CORREA</t>
  </si>
  <si>
    <t>CORTAVIENTOS</t>
  </si>
  <si>
    <t>CUBIERTA BARRA</t>
  </si>
  <si>
    <t>CUBIERTA FAROLA</t>
  </si>
  <si>
    <t>CUBIERTA VENTILADOR</t>
  </si>
  <si>
    <t>CULATA</t>
  </si>
  <si>
    <t>CULATIN</t>
  </si>
  <si>
    <t>DEPOSITO LIQUIDO</t>
  </si>
  <si>
    <t>DISCO FRENO</t>
  </si>
  <si>
    <t>DISCO SEPARADOR</t>
  </si>
  <si>
    <t>EJE CAMBIOS</t>
  </si>
  <si>
    <t>EJE CLUTCH</t>
  </si>
  <si>
    <t>EJE CRANK</t>
  </si>
  <si>
    <t>EJE PIÑON SALIDA</t>
  </si>
  <si>
    <t>EMPAQUE CLUTH</t>
  </si>
  <si>
    <t>EMPAQUE CULATA</t>
  </si>
  <si>
    <t>EMPAQUE VOLANTE</t>
  </si>
  <si>
    <t>ENFOCADOR</t>
  </si>
  <si>
    <t>ESCOBILLAS</t>
  </si>
  <si>
    <t>ESPUMA MANILAR</t>
  </si>
  <si>
    <t>EXPLORADORAS</t>
  </si>
  <si>
    <t>EXTENSOR PLACA</t>
  </si>
  <si>
    <t>FAROLAS</t>
  </si>
  <si>
    <t>FUELLES</t>
  </si>
  <si>
    <t>GATO CENTRAL</t>
  </si>
  <si>
    <t>GPS</t>
  </si>
  <si>
    <t>GUARDACADENAS</t>
  </si>
  <si>
    <t>GUAYAS</t>
  </si>
  <si>
    <t>HORQUILLA CAMBIOS</t>
  </si>
  <si>
    <t>KIT EMPAQUES</t>
  </si>
  <si>
    <t>KIT JGO TAPAS</t>
  </si>
  <si>
    <t>KIT MEDIO</t>
  </si>
  <si>
    <t>KIT PORTA DISCOS</t>
  </si>
  <si>
    <t>KIT SWICHE</t>
  </si>
  <si>
    <t>KIT VALVULAS</t>
  </si>
  <si>
    <t>LLAVE GASOLINA</t>
  </si>
  <si>
    <t>SILICONA GREY 50g</t>
  </si>
  <si>
    <t>MANGUERA FRENO</t>
  </si>
  <si>
    <t>MEDIDOR ACEITE</t>
  </si>
  <si>
    <t>MORDAZA</t>
  </si>
  <si>
    <t xml:space="preserve">PROTECTOR VELOCIMETRO </t>
  </si>
  <si>
    <t>ONE WAY</t>
  </si>
  <si>
    <t>PALANCA CAJA REVERSA</t>
  </si>
  <si>
    <t>PECHERA</t>
  </si>
  <si>
    <t>PEDAL FRENO</t>
  </si>
  <si>
    <t>PERA CAMBIOS</t>
  </si>
  <si>
    <t>PILA BOMBA</t>
  </si>
  <si>
    <t>PIÑON ARRANQUE</t>
  </si>
  <si>
    <t>PIÑON CIGUEÑAL</t>
  </si>
  <si>
    <t>PIÑON VELOCIMETRO</t>
  </si>
  <si>
    <t>PISOS</t>
  </si>
  <si>
    <t>PISTONES</t>
  </si>
  <si>
    <t>PLATO PRESION</t>
  </si>
  <si>
    <t>PORTA CLUTCH</t>
  </si>
  <si>
    <t>PRENSA CLUTCH</t>
  </si>
  <si>
    <t>PRENSA CLUTCH COM</t>
  </si>
  <si>
    <t>PROTEC TAPA CLUTCH</t>
  </si>
  <si>
    <t>PROTECTOR BARRAS</t>
  </si>
  <si>
    <t>PROTECTOR EXOSTO</t>
  </si>
  <si>
    <t>PROTECTOR MOTOR</t>
  </si>
  <si>
    <t>RADIADOR</t>
  </si>
  <si>
    <t>RAMAL ELECTRICO</t>
  </si>
  <si>
    <t>RESORTES</t>
  </si>
  <si>
    <t>RETENEDORES</t>
  </si>
  <si>
    <t>SENSOR GASOLINA</t>
  </si>
  <si>
    <t>SOCKET</t>
  </si>
  <si>
    <t>SOPORTE CARBURADOR</t>
  </si>
  <si>
    <t>SOPORTE FAROLA</t>
  </si>
  <si>
    <t>SOPORTE GUARDABARRO</t>
  </si>
  <si>
    <t>SOPORTE PATA LATERAL</t>
  </si>
  <si>
    <t>SOPORTE TAPA FRONTAL</t>
  </si>
  <si>
    <t>SOPORTE VELOCIMETRO</t>
  </si>
  <si>
    <t>STOP</t>
  </si>
  <si>
    <t>TAPA BATERIA</t>
  </si>
  <si>
    <t>TAPA FRONTAL</t>
  </si>
  <si>
    <t>TAPA LATERAL</t>
  </si>
  <si>
    <t>TAPA PIÑON SALIDA</t>
  </si>
  <si>
    <t>TAPA PRESION</t>
  </si>
  <si>
    <t>TAPA STOP</t>
  </si>
  <si>
    <t>TAPA TANQUE</t>
  </si>
  <si>
    <t>TAPA TANQUE LATERAL</t>
  </si>
  <si>
    <t>TAPA VOLANTE</t>
  </si>
  <si>
    <t>TAPON BALANCIN</t>
  </si>
  <si>
    <t>TAPON MANUBRIO</t>
  </si>
  <si>
    <t>TIJERA</t>
  </si>
  <si>
    <t>TUERCA</t>
  </si>
  <si>
    <t>VALVULA ADMISION</t>
  </si>
  <si>
    <t>VARIADOR</t>
  </si>
  <si>
    <t>VELOCIMETROS</t>
  </si>
  <si>
    <t>VENTILADOR RADIADOR</t>
  </si>
  <si>
    <t>VISOR CARENAJE</t>
  </si>
  <si>
    <t>VOLANTE</t>
  </si>
  <si>
    <t>VOLANTE COMPL</t>
  </si>
  <si>
    <t>AMORTIGUADOR</t>
  </si>
  <si>
    <t>ANILLO EXOSTO</t>
  </si>
  <si>
    <t>EMPAQUE ARBOL LEVAS</t>
  </si>
  <si>
    <t>BARRAS</t>
  </si>
  <si>
    <t>BASE ESPEJOS</t>
  </si>
  <si>
    <t>BASE MANIGUETA</t>
  </si>
  <si>
    <t>BATERIAS</t>
  </si>
  <si>
    <t>BOMBA AIRE</t>
  </si>
  <si>
    <t>CHICLES</t>
  </si>
  <si>
    <t>CINTA</t>
  </si>
  <si>
    <t>EMPAQUE CILINDRO</t>
  </si>
  <si>
    <t>EMPAQUE CULATIN</t>
  </si>
  <si>
    <t>EMPAQUE TRANSMICION</t>
  </si>
  <si>
    <t>EXOSTO</t>
  </si>
  <si>
    <t>HORQUILLA INF</t>
  </si>
  <si>
    <t>HORQUILLA SUSPENSION</t>
  </si>
  <si>
    <t>KIT DESPINCHADOR</t>
  </si>
  <si>
    <t>MALLA SILLIN</t>
  </si>
  <si>
    <t>MONOSHOCK</t>
  </si>
  <si>
    <t>PARCHES</t>
  </si>
  <si>
    <t>PLATINA</t>
  </si>
  <si>
    <t>PORTAPLACA</t>
  </si>
  <si>
    <t>SITEMA FRENO</t>
  </si>
  <si>
    <t>SUPLEMENTO</t>
  </si>
  <si>
    <t>TRAVESAÑO</t>
  </si>
  <si>
    <t>BELRAY 4T</t>
  </si>
  <si>
    <t>TIJERA CUADRADA RX115 YOSHIMURA</t>
  </si>
  <si>
    <t xml:space="preserve">FECHA DE INVENTARIO  </t>
  </si>
  <si>
    <t xml:space="preserve">FECHA DE AJUSTE </t>
  </si>
  <si>
    <t xml:space="preserve">SOBRANTES </t>
  </si>
  <si>
    <t xml:space="preserve">FALTANTES </t>
  </si>
  <si>
    <t>BOBINA DE ALTA</t>
  </si>
  <si>
    <t>TENSOR CADENILLA</t>
  </si>
  <si>
    <t>BALIN DIRECCION</t>
  </si>
  <si>
    <t>EMPAQUE MORDAZA</t>
  </si>
  <si>
    <t>PORTA FUSIBLE</t>
  </si>
  <si>
    <t>CENTRIFUGA</t>
  </si>
  <si>
    <t>PUNTA DESPINADOR</t>
  </si>
  <si>
    <t>LAMINA MORDAZA</t>
  </si>
  <si>
    <t>LEVA EJE DE CAMBIOS</t>
  </si>
  <si>
    <t>FILTRO CENTRIFUGO</t>
  </si>
  <si>
    <t>CANASTILLA BIELA</t>
  </si>
  <si>
    <t>PERA NEUTRO</t>
  </si>
  <si>
    <t>CANASTILLA ONE WAY</t>
  </si>
  <si>
    <t>BASE PUNZON</t>
  </si>
  <si>
    <t>TAPA TENSOR CADENA</t>
  </si>
  <si>
    <t>PERA CLUTCH</t>
  </si>
  <si>
    <t>RESORTE CRANK</t>
  </si>
  <si>
    <t>CARRIL ACELERADOR</t>
  </si>
  <si>
    <t>RECTIFICADOR</t>
  </si>
  <si>
    <t>ESTRELLA SELECTOR</t>
  </si>
  <si>
    <t>VARILLA CLUTCH</t>
  </si>
  <si>
    <t>SELLOS VALVULAS</t>
  </si>
  <si>
    <t>RESORTE VARILLA FRENO</t>
  </si>
  <si>
    <t>BOBINA PULSORA</t>
  </si>
  <si>
    <t>KIT LAINAS</t>
  </si>
  <si>
    <t>CONECTOR FILTRO AIRE</t>
  </si>
  <si>
    <t>KIT VARILLA FRENO</t>
  </si>
  <si>
    <t>ROLES</t>
  </si>
  <si>
    <t>KIT PASADOR VARILLA FRENO</t>
  </si>
  <si>
    <t>BASTAGOS</t>
  </si>
  <si>
    <t>EJE DE CAMBIOS</t>
  </si>
  <si>
    <t>EJE DE CRANK</t>
  </si>
  <si>
    <t>TAPON CARTER</t>
  </si>
  <si>
    <t>RESORTE GATO CENTRAL</t>
  </si>
  <si>
    <t>KIT TIJERA</t>
  </si>
  <si>
    <t>KIT ANTIVIBRANTE</t>
  </si>
  <si>
    <t>ARANDELA ANTIVIBRANTE</t>
  </si>
  <si>
    <t>IMPERMEABLE</t>
  </si>
  <si>
    <t>KIT BIELA</t>
  </si>
  <si>
    <t>TAPA RADIADOR</t>
  </si>
  <si>
    <t>RESORTE BANDAS</t>
  </si>
  <si>
    <t>CAUCHO CABRILLA</t>
  </si>
  <si>
    <t>CABLE CLUTCH</t>
  </si>
  <si>
    <t>KIT CAUCHOS TAPAS</t>
  </si>
  <si>
    <t>ARANDELA BALANCIN</t>
  </si>
  <si>
    <t>ARANDELA PIÑON SALIDA</t>
  </si>
  <si>
    <t>ARANDELA PRENSA CLUTCH</t>
  </si>
  <si>
    <t>MANGUERA GASOLINA</t>
  </si>
  <si>
    <t>TUERCA PIÑON SALIDA</t>
  </si>
  <si>
    <t>SENSOR MAP</t>
  </si>
  <si>
    <t>PLATINA POSAPIE</t>
  </si>
  <si>
    <t>FILTRO GASOLINA</t>
  </si>
  <si>
    <t>VALVULA SELLOMATIC</t>
  </si>
  <si>
    <t>PASADOR BIELA</t>
  </si>
  <si>
    <t>TORNILLO PORTA PLACA</t>
  </si>
  <si>
    <t>SEGURO TAPA LATERAL</t>
  </si>
  <si>
    <t>CHOQUE ELECTRICO</t>
  </si>
  <si>
    <t>TAPON CABRILLA</t>
  </si>
  <si>
    <t>UNIDAD CONTROL LUCES</t>
  </si>
  <si>
    <t>BOTON PITO</t>
  </si>
  <si>
    <t>VISOR NIVEL ACEITE</t>
  </si>
  <si>
    <t>TAPON NEUTRO</t>
  </si>
  <si>
    <t>TPS</t>
  </si>
  <si>
    <t>MEMORIA EQ</t>
  </si>
  <si>
    <t>CANASTILLA CLUTCH</t>
  </si>
  <si>
    <t>TAPON TIEMPO</t>
  </si>
  <si>
    <t>PIÑON BALANCEO</t>
  </si>
  <si>
    <t>TUERCA CIGÜEÑAL</t>
  </si>
  <si>
    <t>BALANCEO</t>
  </si>
  <si>
    <t>ARANDELA VELOCIMETRO</t>
  </si>
  <si>
    <t>TORNILLO MANIGUETA</t>
  </si>
  <si>
    <t>TUERCA CLUTCH</t>
  </si>
  <si>
    <t>KIT CILINDRO</t>
  </si>
  <si>
    <t>TORNILLO PATA LATERAL</t>
  </si>
  <si>
    <t>TERMOSTATO</t>
  </si>
  <si>
    <t>TORNILLO PORTABANDAS</t>
  </si>
  <si>
    <t>INYECTOR</t>
  </si>
  <si>
    <t>GUAYA ACELERADOR</t>
  </si>
  <si>
    <t>GUIA VALVULA</t>
  </si>
  <si>
    <t>GUAYA CHOQUE</t>
  </si>
  <si>
    <t>TAPON VOLANTE</t>
  </si>
  <si>
    <t>GUAYA VELOCIMETRO</t>
  </si>
  <si>
    <t>SENSOR VELOCIMETRO</t>
  </si>
  <si>
    <t>KIT SUSPENSION</t>
  </si>
  <si>
    <t>LUZ PORTA PLACA</t>
  </si>
  <si>
    <t>EJE TIJERA</t>
  </si>
  <si>
    <t>KIT PISTON</t>
  </si>
  <si>
    <t>ARANDELA CAJA</t>
  </si>
  <si>
    <t>PITOS</t>
  </si>
  <si>
    <t>RESORTE EJE DE CAMBIOS</t>
  </si>
  <si>
    <t>DISCO SENSOR ABS</t>
  </si>
  <si>
    <t>MANGUERA INYECTOR</t>
  </si>
  <si>
    <t>SENSOR TEMPERATURA</t>
  </si>
  <si>
    <t>IMAN PATA LATERAL</t>
  </si>
  <si>
    <t>EJE LEVA CLUTCH</t>
  </si>
  <si>
    <t>EJE ABREBANDAS</t>
  </si>
  <si>
    <t>TENSOR CADENA</t>
  </si>
  <si>
    <t>BUJE PORTA SPROCKET</t>
  </si>
  <si>
    <t>DESLIZADOR TIJERA</t>
  </si>
  <si>
    <t>BUJE SOPORTE MOTOR</t>
  </si>
  <si>
    <t>BOTON DIRECCIONAL</t>
  </si>
  <si>
    <t>BOTON ENCENDIDO</t>
  </si>
  <si>
    <t>KIT ORING MOTOR</t>
  </si>
  <si>
    <t>ORING PLATO SEPARADOR</t>
  </si>
  <si>
    <t>TAPA CHASIS BABERO</t>
  </si>
  <si>
    <t>CHAPA SILLIN</t>
  </si>
  <si>
    <t>CASUELA PIÑON CRANK</t>
  </si>
  <si>
    <t>PIÑON SALIDA</t>
  </si>
  <si>
    <t>MICO ACELERADOR</t>
  </si>
  <si>
    <t>ORING POLEA</t>
  </si>
  <si>
    <t>VELOCIMETRO</t>
  </si>
  <si>
    <t>PULPO REDONDO 1.50</t>
  </si>
  <si>
    <t>GUARDA CADENA</t>
  </si>
  <si>
    <t>BABEROS</t>
  </si>
  <si>
    <t xml:space="preserve">PROTECTOR MOTOR </t>
  </si>
  <si>
    <t>RADIADORES</t>
  </si>
  <si>
    <t>TAPA VENTILADOR</t>
  </si>
  <si>
    <t>TANQUE ACEITE</t>
  </si>
  <si>
    <t xml:space="preserve">TAPA PIÑON </t>
  </si>
  <si>
    <t>CARCASA CLUTCH</t>
  </si>
  <si>
    <t>TAPA CULATA</t>
  </si>
  <si>
    <t>PORTA PLACA</t>
  </si>
  <si>
    <t>TANQUE REFRIGERANTE</t>
  </si>
  <si>
    <t>CARENAJE COMPLETO</t>
  </si>
  <si>
    <t>PULPO PLANO 1.50</t>
  </si>
  <si>
    <t>CARENAJE FAROLA</t>
  </si>
  <si>
    <t>CARENAJE VELOCIMETRO</t>
  </si>
  <si>
    <t>GUARDABARRO TRA</t>
  </si>
  <si>
    <t>GUARDABARRO PORTA PLACA</t>
  </si>
  <si>
    <t>PULPO PLANO 1.80</t>
  </si>
  <si>
    <t>GUARDABARRO DEL</t>
  </si>
  <si>
    <t>MONO BRAZO</t>
  </si>
  <si>
    <t>KIT TAPAS</t>
  </si>
  <si>
    <t>TANQUE GASOLINA</t>
  </si>
  <si>
    <t>KIT REPARACION</t>
  </si>
  <si>
    <t>CABRILLAS</t>
  </si>
  <si>
    <t>EXOSTOS</t>
  </si>
  <si>
    <t xml:space="preserve">BOMBA AIRE </t>
  </si>
  <si>
    <t>BARRAS TELESCOPICAS</t>
  </si>
  <si>
    <t>BARRAS TELESCOPICAS CON B.T</t>
  </si>
  <si>
    <t>TREN COMPLETO</t>
  </si>
  <si>
    <t>PILA BOMBA GASOLINA</t>
  </si>
  <si>
    <t>BOMBILLOS LED</t>
  </si>
  <si>
    <t>CDI</t>
  </si>
  <si>
    <t>EMBOBINADOS</t>
  </si>
  <si>
    <t>CARBURADOR CORTINA PLANA</t>
  </si>
  <si>
    <t>PROTECTOR MANIGUETA</t>
  </si>
  <si>
    <t>MANIGUETA LUJO</t>
  </si>
  <si>
    <t>CARGADOR USB</t>
  </si>
  <si>
    <t>PORTA CELULAR</t>
  </si>
  <si>
    <t>SOPORTE CABRILLA</t>
  </si>
  <si>
    <t>SLIDER UNIVERSAL</t>
  </si>
  <si>
    <t>PUFF DE CABRILLA</t>
  </si>
  <si>
    <t>POSAPIE LUJO</t>
  </si>
  <si>
    <t>PROTECTOR DE RADIOS</t>
  </si>
  <si>
    <t>TABLA FRONTAL</t>
  </si>
  <si>
    <t>ACELERADOR DE CUARTA</t>
  </si>
  <si>
    <t>RADIO UNIVERSAL</t>
  </si>
  <si>
    <t>CANDADO ALARMA</t>
  </si>
  <si>
    <t>CANDADO CABLE GUAYA</t>
  </si>
  <si>
    <t>CORTA VIENTO</t>
  </si>
  <si>
    <t>SUPLEMENTOS AMORTIGUADOR</t>
  </si>
  <si>
    <t>PROTECTOR VELOCIMETRO</t>
  </si>
  <si>
    <t>PESAS CABRILLA</t>
  </si>
  <si>
    <t>COLE PATO</t>
  </si>
  <si>
    <t>RECAMARAS</t>
  </si>
  <si>
    <t>MANGUERA BOMBA FRENO</t>
  </si>
  <si>
    <t>GUANTES</t>
  </si>
  <si>
    <t>MANILARES</t>
  </si>
  <si>
    <t>CORREAS</t>
  </si>
  <si>
    <t>CLUTCH COMPLETO</t>
  </si>
  <si>
    <t>BOBINA DE LUCES ENCENDIDO</t>
  </si>
  <si>
    <t>ARRANQUES</t>
  </si>
  <si>
    <t>PORTA DISCOS</t>
  </si>
  <si>
    <t xml:space="preserve">SWICHE </t>
  </si>
  <si>
    <t>FILTRO KAYEN</t>
  </si>
  <si>
    <t>DISCOS DE FRENO DEL</t>
  </si>
  <si>
    <t>DISCOS DE FRENO TRA</t>
  </si>
  <si>
    <t>MORDAZAS</t>
  </si>
  <si>
    <t>DIAFRACMA</t>
  </si>
  <si>
    <t>PEDAL DE FRENO</t>
  </si>
  <si>
    <t>LEVA DE FRENO</t>
  </si>
  <si>
    <t>EJE ABRE BANDAS</t>
  </si>
  <si>
    <t>POSAPIE TRASERO</t>
  </si>
  <si>
    <t>POSAPIE DELANTERO</t>
  </si>
  <si>
    <t>BASE POSA PIE</t>
  </si>
  <si>
    <t>SOPORTE POSAPIE</t>
  </si>
  <si>
    <t>DEFENSAS</t>
  </si>
  <si>
    <t>COMANDO IZQ</t>
  </si>
  <si>
    <t>COMANDO DER</t>
  </si>
  <si>
    <t>VOLANTES</t>
  </si>
  <si>
    <t>BUJE SEPARADOR</t>
  </si>
  <si>
    <t>VARILLA DE FRENO</t>
  </si>
  <si>
    <t>TRAVESAÑOS</t>
  </si>
  <si>
    <t>PORTA BANDAS TRASERO</t>
  </si>
  <si>
    <t>PORTA BANDAS DELANTERO</t>
  </si>
  <si>
    <t>CAMPANA DELANTERA</t>
  </si>
  <si>
    <t>CAMPANA TRASERA</t>
  </si>
  <si>
    <t>PORTA CATALINA</t>
  </si>
  <si>
    <t>CIGÜEÑAL</t>
  </si>
  <si>
    <t>MANIGUETA COMPLETA</t>
  </si>
  <si>
    <t>SENSOR NIVEL GASOLINA</t>
  </si>
  <si>
    <t>DEPOSITO LIQUIDO DE FRENO</t>
  </si>
  <si>
    <t>PIÑON CONTRABALANCEO</t>
  </si>
  <si>
    <t>VENTILADOR</t>
  </si>
  <si>
    <t>MEDIDOR GASOLINA</t>
  </si>
  <si>
    <t>CAPUCHON BUJIA</t>
  </si>
  <si>
    <t>KIT PIÑON LUBRICACION</t>
  </si>
  <si>
    <t>GUIA CADENILLA</t>
  </si>
  <si>
    <t>ARBOL DE LEVAS</t>
  </si>
  <si>
    <t>PEGANTE</t>
  </si>
  <si>
    <t>KIT DESPINADOR</t>
  </si>
  <si>
    <t>BOMBA DE AIRE</t>
  </si>
  <si>
    <t>SILICONA</t>
  </si>
  <si>
    <t>QUITA RUIDOS</t>
  </si>
  <si>
    <t>GABETERO 1</t>
  </si>
  <si>
    <t>CUNAS DE DIRECCION</t>
  </si>
  <si>
    <t>TAPA VALVULA</t>
  </si>
  <si>
    <t>KIT TAPA TORNILLO</t>
  </si>
  <si>
    <t>RUN</t>
  </si>
  <si>
    <t>ESTABILIZADOR DE BARRAS</t>
  </si>
  <si>
    <t>ACEITES</t>
  </si>
  <si>
    <t>GABETERO 2</t>
  </si>
  <si>
    <t>ABRAZADERA PLASTICA</t>
  </si>
  <si>
    <t>PERA DE FRENO</t>
  </si>
  <si>
    <t>PERA DE CLUTCH</t>
  </si>
  <si>
    <t>FLAUTA EXOSTO</t>
  </si>
  <si>
    <t>BOMBA DE FRENO TRA</t>
  </si>
  <si>
    <t>BOMBA DE FRENO DEL</t>
  </si>
  <si>
    <t>EMPAQUE BOMBA DE FRENO</t>
  </si>
  <si>
    <t>DISCOS DE CLUTCH</t>
  </si>
  <si>
    <t>ESPIRAL TELESCOPIO</t>
  </si>
  <si>
    <t>KIT RETEN</t>
  </si>
  <si>
    <t xml:space="preserve">MANIGUETA </t>
  </si>
  <si>
    <t>GUAYA TACOMETRO</t>
  </si>
  <si>
    <t>GUAYA DE FRENO</t>
  </si>
  <si>
    <t>EJE SALIDA</t>
  </si>
  <si>
    <t>PEDAL DE CRANK</t>
  </si>
  <si>
    <t>PEDAL DE CAMBIOS</t>
  </si>
  <si>
    <t xml:space="preserve">CAUCHO CAMPANA </t>
  </si>
  <si>
    <t>KIT ARRASTRE</t>
  </si>
  <si>
    <t>KIT EMPAQUE COMPLETO</t>
  </si>
  <si>
    <t>EMPAQUE CLUTCH</t>
  </si>
  <si>
    <t xml:space="preserve">EMPAQUE TRANSMISON </t>
  </si>
  <si>
    <t>TAPA CLUTCH</t>
  </si>
  <si>
    <t xml:space="preserve">KIT VALVULAS </t>
  </si>
  <si>
    <t>CADENILLAS</t>
  </si>
  <si>
    <t>CAUCHO PENSA</t>
  </si>
  <si>
    <t>RESORTE PEDAL DE FRENO</t>
  </si>
  <si>
    <t>TORNILLO CILINDRO</t>
  </si>
  <si>
    <t>TAPON BARRAS TELESCOPICAS</t>
  </si>
  <si>
    <t>BUJE PIÑON SALIDA</t>
  </si>
  <si>
    <t>TAPON ACEITE</t>
  </si>
  <si>
    <t>LUZ PLACA</t>
  </si>
  <si>
    <t>CILINDRO</t>
  </si>
  <si>
    <t>GUAYA CLUTH</t>
  </si>
  <si>
    <t>GUAYA CHOKE</t>
  </si>
  <si>
    <t xml:space="preserve">GUAYA ACELERADOR </t>
  </si>
  <si>
    <t>BOBINA DE LUCES DE CARGA</t>
  </si>
  <si>
    <t>BOBINAS DE ENCENDIDO</t>
  </si>
  <si>
    <t>MOÑON PEDAL CAMBIO</t>
  </si>
  <si>
    <t>VARILLA PEDAL CAMBIOS</t>
  </si>
  <si>
    <t>ROTULA DE CAMBIOS</t>
  </si>
  <si>
    <t xml:space="preserve">DIRECCIONALES </t>
  </si>
  <si>
    <t>SEPARADORES DE DISCOS</t>
  </si>
  <si>
    <t>SWICHES</t>
  </si>
  <si>
    <t xml:space="preserve">PASTILLAS </t>
  </si>
  <si>
    <t xml:space="preserve">KIT BIELAS </t>
  </si>
  <si>
    <t>BALANCINES</t>
  </si>
  <si>
    <t xml:space="preserve">GUIAS CADENILLAS </t>
  </si>
  <si>
    <t xml:space="preserve"> CARBURADOR </t>
  </si>
  <si>
    <t xml:space="preserve">BANDAS </t>
  </si>
  <si>
    <t xml:space="preserve">CENTRIFUGA </t>
  </si>
  <si>
    <t>PIÑON DE ARRANQUE</t>
  </si>
  <si>
    <t>CARRIL DE CALERADOR</t>
  </si>
  <si>
    <t xml:space="preserve">BAQUELAS </t>
  </si>
  <si>
    <t>LLAVE DE GASOLINA</t>
  </si>
  <si>
    <t xml:space="preserve">ESCOBILLAS </t>
  </si>
  <si>
    <t>KIT REPARACION PIÑON DE BALANCEO</t>
  </si>
  <si>
    <t>BALANCEADOR</t>
  </si>
  <si>
    <t>RELAY VENTILADOR</t>
  </si>
  <si>
    <t xml:space="preserve">SENSOR DE INCLINACION </t>
  </si>
  <si>
    <t>GUAYA CARBURADOR</t>
  </si>
  <si>
    <t>CONDENSADOR</t>
  </si>
  <si>
    <t>KIT LUBRICACION</t>
  </si>
  <si>
    <t xml:space="preserve">DIAFRAGMA </t>
  </si>
  <si>
    <t>LLAVES</t>
  </si>
  <si>
    <t>COPAS TORRE BUJIA</t>
  </si>
  <si>
    <t>PATIN CUADRADO</t>
  </si>
  <si>
    <t xml:space="preserve">EXTRACTORES </t>
  </si>
  <si>
    <t>ALCUTRAX</t>
  </si>
  <si>
    <t>TABACO</t>
  </si>
  <si>
    <t>CAUCHO TAPA LATERAL</t>
  </si>
  <si>
    <t>MANGUERA RADIADOR CORTA</t>
  </si>
  <si>
    <t>MANGUERA RADIADOR LARGA</t>
  </si>
  <si>
    <t>VALVULA DE GASES</t>
  </si>
  <si>
    <t>SENSOR PRESION DE ACEITE</t>
  </si>
  <si>
    <t>SENSOR OXIGENO</t>
  </si>
  <si>
    <t>SOPORTE CUERPO DE ACELERADOR</t>
  </si>
  <si>
    <t>SOPORTE PLACA</t>
  </si>
  <si>
    <t>TRAGA LUZ</t>
  </si>
  <si>
    <t>BUJE PRENSA CLUTH</t>
  </si>
  <si>
    <t>CASQUETES DE BIELA</t>
  </si>
  <si>
    <t>CUIERTA BOMBA DE AGUA</t>
  </si>
  <si>
    <t>SENSOR TAPA LATERAL</t>
  </si>
  <si>
    <t>TORNILLO ACELERADOR</t>
  </si>
  <si>
    <t>DIRECCIONALES DE LUJO</t>
  </si>
  <si>
    <t>CUNAS</t>
  </si>
  <si>
    <t>POSAPIE</t>
  </si>
  <si>
    <t>CONECTOR FILTRO DE AIRE</t>
  </si>
  <si>
    <t xml:space="preserve">REGULARES </t>
  </si>
  <si>
    <t xml:space="preserve">PASADOR MORDAZA </t>
  </si>
  <si>
    <t xml:space="preserve">PASADOR POSAPIE </t>
  </si>
  <si>
    <t>PASADOR ARRANQUE Y BALANCIN</t>
  </si>
  <si>
    <t>ARANDELA CLUTH</t>
  </si>
  <si>
    <t>ARANDELA SIGUEÑAL</t>
  </si>
  <si>
    <t>TORNILLO CARTER</t>
  </si>
  <si>
    <t xml:space="preserve">CANASTILLA EJE DE SALIDA </t>
  </si>
  <si>
    <t xml:space="preserve">CANASTILLA EJE DE CAMBIOS </t>
  </si>
  <si>
    <t xml:space="preserve">CANASTILLA PUIÑON DE ARRANQUE </t>
  </si>
  <si>
    <t xml:space="preserve">PIÑON ARBOL DE LEVAS </t>
  </si>
  <si>
    <t xml:space="preserve">PIÑON BOMBA DE ACEITE </t>
  </si>
  <si>
    <t>AGUJA DIAFRAGMA</t>
  </si>
  <si>
    <t>TUERCA CULATA</t>
  </si>
  <si>
    <t>TORNILLO PEDAL DE CAMBIOS</t>
  </si>
  <si>
    <t>TORNILLO BIELA</t>
  </si>
  <si>
    <t>LEVA CHOQUE</t>
  </si>
  <si>
    <t>GUIA CHOQUE</t>
  </si>
  <si>
    <t xml:space="preserve">TAPON ARBOL DE LEVAS </t>
  </si>
  <si>
    <t>TAPON SWITCHE</t>
  </si>
  <si>
    <t>TAPA SWITCH</t>
  </si>
  <si>
    <t xml:space="preserve">CUNAS VOLANTE </t>
  </si>
  <si>
    <t>CUNAS CIGÜEÑAL</t>
  </si>
  <si>
    <t xml:space="preserve">TERMINLES </t>
  </si>
  <si>
    <t>EMPAQUE TENSOR CADENILLA</t>
  </si>
  <si>
    <t>SWITCHE ESTACIONARIAS</t>
  </si>
  <si>
    <t>PASADOR GATO LATERAL</t>
  </si>
  <si>
    <t xml:space="preserve">LEVA DE FRENO </t>
  </si>
  <si>
    <t xml:space="preserve">FILTRO DE ACEITE </t>
  </si>
  <si>
    <t>BUJE PORTA SPROKET</t>
  </si>
  <si>
    <t xml:space="preserve">DESLIIZADOR  DE TIJERA </t>
  </si>
  <si>
    <t>EJE DEL CLUTCH</t>
  </si>
  <si>
    <t xml:space="preserve">ORING PIÑON SALIDA </t>
  </si>
  <si>
    <t xml:space="preserve">ORING VOLANTE </t>
  </si>
  <si>
    <t>ORING TORNILLO PEDAL</t>
  </si>
  <si>
    <t xml:space="preserve">PIÑON 2DA - 3RA - 4TA </t>
  </si>
  <si>
    <t xml:space="preserve">BUJE BARRA </t>
  </si>
  <si>
    <t>BUJE SOPORTE BALINERA</t>
  </si>
  <si>
    <t>SOPORT GUARDABARROS</t>
  </si>
  <si>
    <t xml:space="preserve">SOPORTE ARBOL DE LEVAS </t>
  </si>
  <si>
    <t xml:space="preserve">PIN PASADOR POLEA </t>
  </si>
  <si>
    <t>RESORTE POLEA</t>
  </si>
  <si>
    <t>TAPA RESORTE CRANK</t>
  </si>
  <si>
    <t>PROTECTOR CAPUCHON</t>
  </si>
  <si>
    <t>PASADOR PISATON</t>
  </si>
  <si>
    <t xml:space="preserve">PASADOR EJE DE LEVAS </t>
  </si>
  <si>
    <t>TORQUE</t>
  </si>
  <si>
    <t>TAPA TORNILLO PISO</t>
  </si>
  <si>
    <t>SIN FIN VELOCIMETRO</t>
  </si>
  <si>
    <t>CARACOL</t>
  </si>
  <si>
    <t>PROTECTOR PEDAL DE CAMBIOS</t>
  </si>
  <si>
    <t>BOTON CAMBIO DE LUCES</t>
  </si>
  <si>
    <t>KIT BOTON</t>
  </si>
  <si>
    <t xml:space="preserve">TAPA VARIADOR </t>
  </si>
  <si>
    <t>SOPORTE VARIADOR</t>
  </si>
  <si>
    <t xml:space="preserve">REGULADOR PRESION </t>
  </si>
  <si>
    <t>SENSOR CKP</t>
  </si>
  <si>
    <t xml:space="preserve">MICO CLUTCH </t>
  </si>
  <si>
    <t xml:space="preserve">BALINERAS </t>
  </si>
  <si>
    <t xml:space="preserve">FLASHER </t>
  </si>
  <si>
    <t xml:space="preserve">PERA DE CAMBIOS </t>
  </si>
  <si>
    <t>PERA DE TEMPERATURA</t>
  </si>
  <si>
    <t xml:space="preserve">FUSIBLE VIDRIO </t>
  </si>
  <si>
    <t>FUSIBLE CUCHILLA</t>
  </si>
  <si>
    <t xml:space="preserve">BOMBA ACEITE </t>
  </si>
  <si>
    <t>CANDADO DE DISCO</t>
  </si>
  <si>
    <t xml:space="preserve">ROLES </t>
  </si>
  <si>
    <t xml:space="preserve">QUITA RUIDOS </t>
  </si>
  <si>
    <t>SELLOS DE VALVULAS</t>
  </si>
  <si>
    <t>PULPOS</t>
  </si>
  <si>
    <t>CABLES</t>
  </si>
  <si>
    <t>RESORTE BARRAS</t>
  </si>
  <si>
    <t xml:space="preserve">IMPERMEABLES </t>
  </si>
  <si>
    <t xml:space="preserve">FILTRO GASOLIINA </t>
  </si>
  <si>
    <t xml:space="preserve">LLAVE BARRA TELESCOPICA </t>
  </si>
  <si>
    <t xml:space="preserve">BOMBILLOS </t>
  </si>
  <si>
    <t>OK</t>
  </si>
  <si>
    <t>ULTIMO INV</t>
  </si>
  <si>
    <t>CATEGORIA</t>
  </si>
  <si>
    <t>AL DIA (MENOS 10 DIAS)</t>
  </si>
  <si>
    <t>CRITICO(MAS 30 DIAS)</t>
  </si>
  <si>
    <t>POR REALIZAR(ALERTA)</t>
  </si>
  <si>
    <t>INVENTARIO 2026</t>
  </si>
  <si>
    <t>CONTROL</t>
  </si>
  <si>
    <t xml:space="preserve">NOMBRE </t>
  </si>
  <si>
    <t xml:space="preserve">JAIME </t>
  </si>
  <si>
    <t xml:space="preserve">MIGUEL </t>
  </si>
  <si>
    <t>MARDELY</t>
  </si>
  <si>
    <t>ANGIE</t>
  </si>
  <si>
    <t xml:space="preserve">JOEL </t>
  </si>
  <si>
    <t xml:space="preserve">ARIANA </t>
  </si>
  <si>
    <t xml:space="preserve">HARRISON </t>
  </si>
  <si>
    <t>WILLIAN</t>
  </si>
  <si>
    <t>MIGUEL</t>
  </si>
  <si>
    <t xml:space="preserve">HEIDY </t>
  </si>
  <si>
    <t xml:space="preserve">VICTOR </t>
  </si>
  <si>
    <t xml:space="preserve">WILLIAN </t>
  </si>
  <si>
    <t>NIKOLAS</t>
  </si>
  <si>
    <t xml:space="preserve">PABLO </t>
  </si>
  <si>
    <t xml:space="preserve">STEFAN </t>
  </si>
  <si>
    <t xml:space="preserve">DIEGO </t>
  </si>
  <si>
    <t xml:space="preserve">ESTEBAN </t>
  </si>
  <si>
    <t>MATIAS</t>
  </si>
  <si>
    <t>NOMBRE</t>
  </si>
  <si>
    <t xml:space="preserve">JULIAN </t>
  </si>
  <si>
    <t>JAIRO</t>
  </si>
  <si>
    <t>FELIPE</t>
  </si>
  <si>
    <t xml:space="preserve">ADRIAN </t>
  </si>
  <si>
    <t>DIXON</t>
  </si>
  <si>
    <t>TOTAL UNIDADES</t>
  </si>
  <si>
    <t>(Todas)</t>
  </si>
  <si>
    <t>Etiquetas de fila</t>
  </si>
  <si>
    <t>(en blanco)</t>
  </si>
  <si>
    <t>Total general</t>
  </si>
  <si>
    <t>Cuenta de TOTAL UNIDADES</t>
  </si>
  <si>
    <t>Suma de TOTAL UNIDADES</t>
  </si>
  <si>
    <t>Suma de TOTAL UNIDADES2</t>
  </si>
  <si>
    <t>Cuenta de TOTAL UNIDADES2</t>
  </si>
  <si>
    <t>INVENTARIO</t>
  </si>
  <si>
    <t xml:space="preserve">MES </t>
  </si>
  <si>
    <t>oct</t>
  </si>
  <si>
    <t xml:space="preserve">JEFERSON </t>
  </si>
  <si>
    <t xml:space="preserve">JOSE </t>
  </si>
  <si>
    <t xml:space="preserve">Suma de SOBRANTES </t>
  </si>
  <si>
    <t xml:space="preserve">Suma de FALTANTES </t>
  </si>
  <si>
    <t xml:space="preserve">Cuenta de SOBRANTES </t>
  </si>
  <si>
    <t xml:space="preserve">Cuenta de FALTANTES 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</si>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</sst>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3" borderId="0" xfId="0" applyFont="1" applyFill="1"/>
    <xf numFmtId="14" fontId="2" fillId="2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" fontId="2" fillId="5" borderId="1" xfId="1" applyNumberFormat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  <xf numFmtId="0" fontId="0" fillId="8" borderId="0" xfId="0" applyFill="1"/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6" xfId="0" applyBorder="1" applyAlignment="1">
      <alignment horizontal="center"/>
    </xf>
    <xf numFmtId="1" fontId="2" fillId="5" borderId="5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7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E4C4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28-4B65-AE20-A096BD7CAB64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228-4B65-AE20-A096BD7CAB6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228-4B65-AE20-A096BD7CAB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MX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'BODEGA 1'!$N$2:$P$2</c:f>
              <c:strCache>
                <c:ptCount val="3"/>
                <c:pt idx="0">
                  <c:v>AL DIA (MENOS 10 DIAS)</c:v>
                </c:pt>
                <c:pt idx="1">
                  <c:v>POR REALIZAR(ALERTA)</c:v>
                </c:pt>
                <c:pt idx="2">
                  <c:v>CRITICO(MAS 30 DIAS)</c:v>
                </c:pt>
              </c:strCache>
            </c:strRef>
          </c:cat>
          <c:val>
            <c:numRef>
              <c:f>'BODEGA 1'!$N$3:$P$3</c:f>
              <c:numCache>
                <c:formatCode>0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8-4B65-AE20-A096BD7CAB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8E-4959-9DEE-8905CEBD157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8E-4959-9DEE-8905CEBD157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8E-4959-9DEE-8905CEBD157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MX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'BODEGA 2'!$N$2:$P$2</c:f>
              <c:strCache>
                <c:ptCount val="3"/>
                <c:pt idx="0">
                  <c:v>AL DIA (MENOS 10 DIAS)</c:v>
                </c:pt>
                <c:pt idx="1">
                  <c:v>POR REALIZAR(ALERTA)</c:v>
                </c:pt>
                <c:pt idx="2">
                  <c:v>CRITICO(MAS 30 DIAS)</c:v>
                </c:pt>
              </c:strCache>
            </c:strRef>
          </c:cat>
          <c:val>
            <c:numRef>
              <c:f>'BODEGA 2'!$N$3:$P$3</c:f>
              <c:numCache>
                <c:formatCode>0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8E-4959-9DEE-8905CEBD157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explosion val="15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CF-42F6-B729-19F965DC384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CF-42F6-B729-19F965DC384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CF-42F6-B729-19F965DC384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MX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'BODEGA 3'!$N$2:$P$2</c:f>
              <c:strCache>
                <c:ptCount val="3"/>
                <c:pt idx="0">
                  <c:v>AL DIA (MENOS 10 DIAS)</c:v>
                </c:pt>
                <c:pt idx="1">
                  <c:v>POR REALIZAR(ALERTA)</c:v>
                </c:pt>
                <c:pt idx="2">
                  <c:v>CRITICO(MAS 30 DIAS)</c:v>
                </c:pt>
              </c:strCache>
            </c:strRef>
          </c:cat>
          <c:val>
            <c:numRef>
              <c:f>'BODEGA 3'!$N$3:$P$3</c:f>
              <c:numCache>
                <c:formatCode>0</c:formatCode>
                <c:ptCount val="3"/>
                <c:pt idx="0">
                  <c:v>28</c:v>
                </c:pt>
                <c:pt idx="1">
                  <c:v>3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CF-42F6-B729-19F965DC384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CUMPLIMIENTO</a:t>
            </a:r>
          </a:p>
        </c:rich>
      </c:tx>
      <c:layout>
        <c:manualLayout>
          <c:xMode val="edge"/>
          <c:yMode val="edge"/>
          <c:x val="0.342355600122210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32-478D-9821-9B3EF1DB113F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32-478D-9821-9B3EF1DB11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32-478D-9821-9B3EF1DB11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MX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'BODEGA 4'!$N$2:$P$2</c:f>
              <c:strCache>
                <c:ptCount val="3"/>
                <c:pt idx="0">
                  <c:v>AL DIA (MENOS 10 DIAS)</c:v>
                </c:pt>
                <c:pt idx="1">
                  <c:v>POR REALIZAR(ALERTA)</c:v>
                </c:pt>
                <c:pt idx="2">
                  <c:v>CRITICO(MAS 30 DIAS)</c:v>
                </c:pt>
              </c:strCache>
            </c:strRef>
          </c:cat>
          <c:val>
            <c:numRef>
              <c:f>'BODEGA 4'!$N$3:$P$3</c:f>
              <c:numCache>
                <c:formatCode>0</c:formatCode>
                <c:ptCount val="3"/>
                <c:pt idx="0">
                  <c:v>48</c:v>
                </c:pt>
                <c:pt idx="1">
                  <c:v>0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32-478D-9821-9B3EF1DB113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76-41E9-B088-3CE1567AFF9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76-41E9-B088-3CE1567AFF9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76-41E9-B088-3CE1567AFF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MX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'BODEGA 21'!$N$2:$P$2</c:f>
              <c:strCache>
                <c:ptCount val="3"/>
                <c:pt idx="0">
                  <c:v>AL DIA (MENOS 10 DIAS)</c:v>
                </c:pt>
                <c:pt idx="1">
                  <c:v>POR REALIZAR(ALERTA)</c:v>
                </c:pt>
                <c:pt idx="2">
                  <c:v>CRITICO(MAS 30 DIAS)</c:v>
                </c:pt>
              </c:strCache>
            </c:strRef>
          </c:cat>
          <c:val>
            <c:numRef>
              <c:f>'BODEGA 21'!$N$3:$P$3</c:f>
              <c:numCache>
                <c:formatCode>0</c:formatCode>
                <c:ptCount val="3"/>
                <c:pt idx="0">
                  <c:v>81</c:v>
                </c:pt>
                <c:pt idx="1">
                  <c:v>3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76-41E9-B088-3CE1567AFF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es-MX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15-4BDC-AE5B-8B1712D6749F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15-4BDC-AE5B-8B1712D6749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15-4BDC-AE5B-8B1712D674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MX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'BODEGA 22'!$N$2:$P$2</c:f>
              <c:strCache>
                <c:ptCount val="3"/>
                <c:pt idx="0">
                  <c:v>AL DIA (MENOS 10 DIAS)</c:v>
                </c:pt>
                <c:pt idx="1">
                  <c:v>POR REALIZAR(ALERTA)</c:v>
                </c:pt>
                <c:pt idx="2">
                  <c:v>CRITICO(MAS 30 DIAS)</c:v>
                </c:pt>
              </c:strCache>
            </c:strRef>
          </c:cat>
          <c:val>
            <c:numRef>
              <c:f>'BODEGA 22'!$N$3:$P$3</c:f>
              <c:numCache>
                <c:formatCode>0</c:formatCode>
                <c:ptCount val="3"/>
                <c:pt idx="0">
                  <c:v>4</c:v>
                </c:pt>
                <c:pt idx="1">
                  <c:v>6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15-4BDC-AE5B-8B1712D674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723900</xdr:colOff>
      <xdr:row>6</xdr:row>
      <xdr:rowOff>152400</xdr:rowOff>
    </xdr:from>
    <xdr:to>
      <xdr:col>15</xdr:col>
      <xdr:colOff>1257300</xdr:colOff>
      <xdr:row>18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5CD4A9-8121-4B12-A54B-D70779B07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733425</xdr:colOff>
      <xdr:row>4</xdr:row>
      <xdr:rowOff>171450</xdr:rowOff>
    </xdr:from>
    <xdr:to>
      <xdr:col>15</xdr:col>
      <xdr:colOff>1362075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541B73-22AE-43BC-9582-03E5C74DD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857249</xdr:colOff>
      <xdr:row>4</xdr:row>
      <xdr:rowOff>142875</xdr:rowOff>
    </xdr:from>
    <xdr:to>
      <xdr:col>15</xdr:col>
      <xdr:colOff>1771649</xdr:colOff>
      <xdr:row>19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E6F4B3-C57A-466A-95F4-CD2D4BC95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3</xdr:row>
      <xdr:rowOff>114300</xdr:rowOff>
    </xdr:from>
    <xdr:to>
      <xdr:col>15</xdr:col>
      <xdr:colOff>1800785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D62266-DA21-4761-9FA3-837941583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752475</xdr:colOff>
      <xdr:row>5</xdr:row>
      <xdr:rowOff>0</xdr:rowOff>
    </xdr:from>
    <xdr:to>
      <xdr:col>16</xdr:col>
      <xdr:colOff>48185</xdr:colOff>
      <xdr:row>19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48CDF4-D1DC-42BE-8A2F-89FA929E8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752475</xdr:colOff>
      <xdr:row>4</xdr:row>
      <xdr:rowOff>180975</xdr:rowOff>
    </xdr:from>
    <xdr:to>
      <xdr:col>16</xdr:col>
      <xdr:colOff>19610</xdr:colOff>
      <xdr:row>19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EB52AC-DE1E-4B04-A1D4-F0DBB40EF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08.68144641204" createdVersion="7" refreshedVersion="7" minRefreshableVersion="3" recordCount="456" xr:uid="{00000000-000A-0000-FFFF-FFFF00000000}">
  <cacheSource type="worksheet">
    <worksheetSource ref="A2:H1048576" sheet="BODEGA 2"/>
  </cacheSource>
  <cacheFields count="8">
    <cacheField name="MES " numFmtId="0">
      <sharedItems containsBlank="1" count="3">
        <s v="oct"/>
        <s v="ene"/>
        <m/>
      </sharedItems>
    </cacheField>
    <cacheField name="CATERGORIA " numFmtId="0">
      <sharedItems containsBlank="1" count="2">
        <s v="KIT VALVULAS "/>
        <m/>
      </sharedItems>
    </cacheField>
    <cacheField name="TOTAL UNIDADES" numFmtId="0">
      <sharedItems containsString="0" containsBlank="1" containsNumber="1" containsInteger="1" minValue="100" maxValue="100"/>
    </cacheField>
    <cacheField name="FECHA DE INVENTARIO  " numFmtId="14">
      <sharedItems containsNonDate="0" containsDate="1" containsString="0" containsBlank="1" minDate="2026-10-13T00:00:00" maxDate="2026-10-14T00:00:00"/>
    </cacheField>
    <cacheField name="SOBRANTES " numFmtId="0">
      <sharedItems containsString="0" containsBlank="1" containsNumber="1" containsInteger="1" minValue="5" maxValue="5"/>
    </cacheField>
    <cacheField name="FALTANTES " numFmtId="0">
      <sharedItems containsString="0" containsBlank="1" containsNumber="1" containsInteger="1" minValue="10" maxValue="10"/>
    </cacheField>
    <cacheField name="RESPONSABLE " numFmtId="0">
      <sharedItems containsBlank="1" count="2">
        <s v="JOEL "/>
        <m/>
      </sharedItems>
    </cacheField>
    <cacheField name="FECHA DE AJUSTE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08.69995775463" createdVersion="7" refreshedVersion="7" minRefreshableVersion="3" recordCount="456" xr:uid="{00000000-000A-0000-FFFF-FFFF01000000}">
  <cacheSource type="worksheet">
    <worksheetSource ref="A2:H1048576" sheet="BODEGA 4"/>
  </cacheSource>
  <cacheFields count="8">
    <cacheField name="MES " numFmtId="0">
      <sharedItems containsBlank="1" count="3">
        <s v="oct"/>
        <s v="ene"/>
        <m/>
      </sharedItems>
    </cacheField>
    <cacheField name="CATERGORIA " numFmtId="0">
      <sharedItems containsBlank="1" count="15">
        <s v="TANQUES"/>
        <s v="CARENAJE"/>
        <s v="LLANTAS"/>
        <s v="DISCOS CLUTCH"/>
        <s v="KIT BIELAS"/>
        <s v="KIT PORTA DISCOS COM"/>
        <s v="GUAYA ACEL"/>
        <s v="GUAYA CLUTCH"/>
        <s v="GUAYA FRENO "/>
        <s v="GUAYA VEL."/>
        <s v="GUAYA TACOMETRO"/>
        <s v="CARBURADORES"/>
        <s v="CADENAS"/>
        <s v="KIT CARBURADOR"/>
        <m/>
      </sharedItems>
    </cacheField>
    <cacheField name="TOTAL UNIDADES" numFmtId="0">
      <sharedItems containsString="0" containsBlank="1" containsNumber="1" containsInteger="1" minValue="240" maxValue="25060"/>
    </cacheField>
    <cacheField name="FECHA DE INVENTARIO  " numFmtId="14">
      <sharedItems containsNonDate="0" containsDate="1" containsString="0" containsBlank="1" minDate="2026-10-13T00:00:00" maxDate="2026-10-14T00:00:00"/>
    </cacheField>
    <cacheField name="SOBRANTES " numFmtId="0">
      <sharedItems containsString="0" containsBlank="1" containsNumber="1" containsInteger="1" minValue="0" maxValue="4"/>
    </cacheField>
    <cacheField name="FALTANTES " numFmtId="0">
      <sharedItems containsString="0" containsBlank="1" containsNumber="1" containsInteger="1" minValue="0" maxValue="3"/>
    </cacheField>
    <cacheField name="RESPONSABLE " numFmtId="0">
      <sharedItems containsBlank="1" count="3">
        <s v="JAIRO"/>
        <s v="JULIAN "/>
        <m/>
      </sharedItems>
    </cacheField>
    <cacheField name="FECHA DE AJUSTE " numFmtId="0">
      <sharedItems containsNonDate="0" containsDate="1" containsString="0" containsBlank="1" minDate="2026-10-13T00:00:00" maxDate="2026-10-1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MACEN LANDIMOTOS" refreshedDate="46309.334451620372" createdVersion="7" refreshedVersion="4" minRefreshableVersion="3" recordCount="456" xr:uid="{00000000-000A-0000-FFFF-FFFF02000000}">
  <cacheSource type="worksheet">
    <worksheetSource ref="A2:H1048576" sheet="BODEGA 22"/>
  </cacheSource>
  <cacheFields count="8">
    <cacheField name="MES " numFmtId="0">
      <sharedItems containsBlank="1" count="4">
        <s v="ene"/>
        <m/>
        <s v="oct" u="1"/>
        <s v="sep" u="1"/>
      </sharedItems>
    </cacheField>
    <cacheField name="CATERGORIA " numFmtId="0">
      <sharedItems containsNonDate="0" containsBlank="1" count="3">
        <m/>
        <s v="BARRAS" u="1"/>
        <s v="ANILLO EXOSTO" u="1"/>
      </sharedItems>
    </cacheField>
    <cacheField name="TOTAL UNIDADES" numFmtId="0">
      <sharedItems containsNonDate="0" containsString="0" containsBlank="1"/>
    </cacheField>
    <cacheField name="FECHA DE INVENTARIO  " numFmtId="14">
      <sharedItems containsNonDate="0" containsString="0" containsBlank="1"/>
    </cacheField>
    <cacheField name="SOBRANTES " numFmtId="0">
      <sharedItems containsNonDate="0" containsString="0" containsBlank="1"/>
    </cacheField>
    <cacheField name="FALTANTES " numFmtId="0">
      <sharedItems containsNonDate="0" containsString="0" containsBlank="1"/>
    </cacheField>
    <cacheField name="RESPONSABLE " numFmtId="0">
      <sharedItems containsNonDate="0" containsBlank="1" count="3">
        <m/>
        <s v="ESTEBAN " u="1"/>
        <s v="NIKOLAS" u="1"/>
      </sharedItems>
    </cacheField>
    <cacheField name="FECHA DE AJUSTE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11.370995949073" createdVersion="7" refreshedVersion="7" minRefreshableVersion="3" recordCount="692" xr:uid="{00000000-000A-0000-FFFF-FFFF03000000}">
  <cacheSource type="worksheet">
    <worksheetSource ref="A2:H1048576" sheet="BODEGA 1"/>
  </cacheSource>
  <cacheFields count="8">
    <cacheField name="MES " numFmtId="0">
      <sharedItems containsBlank="1" count="3">
        <s v="oct"/>
        <s v="ene"/>
        <m/>
      </sharedItems>
    </cacheField>
    <cacheField name="CATEGORIA" numFmtId="0">
      <sharedItems containsBlank="1" count="7">
        <s v="CADENILLA"/>
        <s v="CADENAS"/>
        <s v="GUARDABARRO"/>
        <m/>
        <s v="CANDADO CADENA" u="1"/>
        <s v="KIT DE ARRASTRE" u="1"/>
        <s v="LLANTAS" u="1"/>
      </sharedItems>
    </cacheField>
    <cacheField name="TOTAL UNIDADES" numFmtId="0">
      <sharedItems containsString="0" containsBlank="1" containsNumber="1" containsInteger="1" minValue="208" maxValue="10662"/>
    </cacheField>
    <cacheField name="FECHA DE INVENTARIO  " numFmtId="14">
      <sharedItems containsNonDate="0" containsDate="1" containsString="0" containsBlank="1" minDate="2026-10-14T00:00:00" maxDate="2026-10-17T00:00:00"/>
    </cacheField>
    <cacheField name="SOBRANTES " numFmtId="0">
      <sharedItems containsString="0" containsBlank="1" containsNumber="1" containsInteger="1" minValue="0" maxValue="10"/>
    </cacheField>
    <cacheField name="FALTANTES " numFmtId="0">
      <sharedItems containsString="0" containsBlank="1" containsNumber="1" containsInteger="1" minValue="0" maxValue="0"/>
    </cacheField>
    <cacheField name="RESPONSABLE " numFmtId="0">
      <sharedItems containsBlank="1" count="4">
        <s v="JAIME "/>
        <m/>
        <s v="MIGUEL " u="1"/>
        <s v="JEFERSON " u="1"/>
      </sharedItems>
    </cacheField>
    <cacheField name="FECHA DE AJUSTE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IMOTOS ." refreshedDate="46311.499092361111" createdVersion="7" refreshedVersion="8" minRefreshableVersion="3" recordCount="456" xr:uid="{00000000-000A-0000-FFFF-FFFF04000000}">
  <cacheSource type="worksheet">
    <worksheetSource ref="A2:H1048576" sheet="BODEGA 21"/>
  </cacheSource>
  <cacheFields count="8">
    <cacheField name="MES " numFmtId="0">
      <sharedItems containsBlank="1" count="3">
        <s v="oct"/>
        <s v="ene"/>
        <m/>
      </sharedItems>
    </cacheField>
    <cacheField name="CATERGORIA " numFmtId="0">
      <sharedItems containsBlank="1" count="85">
        <s v="FUELLES"/>
        <s v="PROTECTOR EXOSTO"/>
        <s v="PLATO PRESION"/>
        <s v="MORDAZA"/>
        <s v="CAJA FILTRO"/>
        <s v="BUJIAS"/>
        <s v="PORTABANDAS"/>
        <s v="GUARDABARRO"/>
        <s v="VOLANTE"/>
        <s v="VOLANTE COMPL"/>
        <s v="GUARDACADENAS"/>
        <s v="TANQUES"/>
        <s v="ACELERADOR CUARTA"/>
        <s v="PISOS"/>
        <s v="BABERO"/>
        <s v="TAPA PIÑON SALIDA"/>
        <s v="GATO CENTRAL"/>
        <s v="ANILLOS"/>
        <s v="ARBOL LEVAS"/>
        <s v="BALANCIN"/>
        <s v="BASTAGO"/>
        <s v="BOBINA ALTA"/>
        <s v="BOMBA ACEITE"/>
        <s v="C.D.I"/>
        <s v="CARBURADORES"/>
        <s v="CHAPA COMPUERTA"/>
        <s v="CILINDROS"/>
        <s v="COMANDOS"/>
        <s v="CONECTOR EXOSTO"/>
        <s v="CUNAS DIRECCION"/>
        <s v="DISCOS CLUTCH"/>
        <s v="DISCO SEPARADOR"/>
        <s v="EJE CAMBIOS"/>
        <s v="EJE CLUTCH"/>
        <s v="EJE CRANK"/>
        <s v="EJE DELANTERO"/>
        <s v="EJE PIÑON SALIDA"/>
        <s v="EMBOBINADO"/>
        <s v="EMPAQUE CLUTH"/>
        <s v="EMPAQUE CULATA"/>
        <s v="EMPAQUE VOLANTE"/>
        <s v="STOP"/>
        <s v="ABRAZADERAS"/>
        <s v="TIJERA"/>
        <s v="AGARRADERAS"/>
        <s v="CUERPO ACELERADOR "/>
        <s v="GPS"/>
        <s v="BALINERAS"/>
        <s v="FILTRO ACEITE"/>
        <s v="GUAYAS"/>
        <s v="KIT BIELAS"/>
        <s v="KIT EMPAQUES"/>
        <s v="HORQUILLA CAMBIOS"/>
        <s v="KIT MEDIO"/>
        <s v="KIT VALVULAS"/>
        <s v="VALVULA ADMISION"/>
        <s v="REGULADOR"/>
        <s v="LLAVE GASOLINA"/>
        <s v="KIT SWICHE"/>
        <s v="MANIGUETAS"/>
        <s v="MANGUERA FRENO"/>
        <s v="ONE WAY"/>
        <s v="PALANCA CAJA REVERSA"/>
        <s v="PASTILLAS"/>
        <s v="PATA LATERAL"/>
        <s v="RELAY"/>
        <s v="PEDAL CAMBIOS"/>
        <s v="PEDAL CRANK"/>
        <s v="RETENEDORES"/>
        <s v="PERA CAMBIOS"/>
        <s v="SOPORTE CARBURADOR"/>
        <s v="RESORTES"/>
        <s v="PROTECTOR BARRAS "/>
        <s v="PIÑON ARRANQUE"/>
        <s v="PIÑON CIGUEÑAL"/>
        <s v="PIÑON VELOCIMETRO"/>
        <s v="BASE VENTILADOR"/>
        <s v="CARCAZA MOTOR"/>
        <s v="CULATIN"/>
        <s v="TUERCA"/>
        <s v="SOCKET"/>
        <s v="TAPON MANUBRIO"/>
        <s v="MEDIDOR ACEITE"/>
        <s v="PISTONES"/>
        <m/>
      </sharedItems>
    </cacheField>
    <cacheField name="TOTAL UNIDADES" numFmtId="0">
      <sharedItems containsString="0" containsBlank="1" containsNumber="1" containsInteger="1" minValue="0" maxValue="5140"/>
    </cacheField>
    <cacheField name="FECHA DE INVENTARIO  " numFmtId="14">
      <sharedItems containsNonDate="0" containsDate="1" containsString="0" containsBlank="1" minDate="2026-10-01T00:00:00" maxDate="2026-10-17T00:00:00"/>
    </cacheField>
    <cacheField name="SOBRANTES " numFmtId="0">
      <sharedItems containsString="0" containsBlank="1" containsNumber="1" containsInteger="1" minValue="1" maxValue="3"/>
    </cacheField>
    <cacheField name="FALTANTES " numFmtId="0">
      <sharedItems containsString="0" containsBlank="1" containsNumber="1" containsInteger="1" minValue="1" maxValue="1"/>
    </cacheField>
    <cacheField name="RESPONSABLE " numFmtId="0">
      <sharedItems containsBlank="1" count="5">
        <s v="DIEGO "/>
        <s v="STEFAN "/>
        <s v="MIGUEL "/>
        <s v="PABLO "/>
        <m/>
      </sharedItems>
    </cacheField>
    <cacheField name="FECHA DE AJUSTE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ATAN" refreshedDate="46312.52114837963" createdVersion="7" refreshedVersion="6" minRefreshableVersion="3" recordCount="456" xr:uid="{00000000-000A-0000-FFFF-FFFF05000000}">
  <cacheSource type="worksheet">
    <worksheetSource ref="A2:H1048576" sheet="BODEGA 3"/>
  </cacheSource>
  <cacheFields count="8">
    <cacheField name="MES " numFmtId="0">
      <sharedItems containsBlank="1" count="4">
        <s v="oct"/>
        <s v="mar"/>
        <s v="ene"/>
        <m/>
      </sharedItems>
    </cacheField>
    <cacheField name="CATERGORIA " numFmtId="0">
      <sharedItems containsBlank="1" count="37">
        <s v="EMBOBINADOS"/>
        <s v="CADENILLA"/>
        <s v="ARBOL DE LEVAS"/>
        <s v="GUIA CADENILLA"/>
        <s v="KIT PIÑON LUBRICACION"/>
        <s v="KIT ARRASTRE"/>
        <s v="KIT VALVULAS"/>
        <s v="GABETERO 2"/>
        <s v="BALANCIN"/>
        <s v="IMPERMEABLE"/>
        <s v="REGULADOR"/>
        <s v="TAPA CLUTCH"/>
        <s v="EXPLORADORAS"/>
        <s v="BOBINA DE ALTA"/>
        <s v="MONOSHOCK"/>
        <s v="PIÑON SALIDA"/>
        <s v="MANIGUETA "/>
        <s v="BOMBA ACEITE"/>
        <s v="BASE MANIGUETA"/>
        <s v="PILA BOMBA GASOLINA"/>
        <s v="INYECTOR"/>
        <s v="CARRIL ACELERADOR"/>
        <s v="PROTECTOR VELOCIMETRO"/>
        <s v="DESLIZADOR TIJERA"/>
        <s v="PIÑON VELOCIMETRO"/>
        <s v="SENSOR VELOCIMETRO"/>
        <s v="TAPA TANQUE"/>
        <s v="FUELLES"/>
        <s v="BARRAS TELESCOPICAS"/>
        <s v="AMORTIGUADOR"/>
        <s v="KIT PISTON"/>
        <s v="CAPUCHON BUJIA"/>
        <s v="MANILARES"/>
        <s v="PUFF DE CABRILLA"/>
        <s v="ACELERADOR DE CUARTA"/>
        <m/>
        <s v="MANIGUETA COMPLETA" u="1"/>
      </sharedItems>
    </cacheField>
    <cacheField name="TOTAL UNIDADES" numFmtId="0">
      <sharedItems containsString="0" containsBlank="1" containsNumber="1" containsInteger="1" minValue="6" maxValue="3617"/>
    </cacheField>
    <cacheField name="FECHA DE INVENTARIO  " numFmtId="14">
      <sharedItems containsNonDate="0" containsDate="1" containsString="0" containsBlank="1" minDate="2026-03-10T00:00:00" maxDate="2026-10-18T00:00:00"/>
    </cacheField>
    <cacheField name="SOBRANTES " numFmtId="0">
      <sharedItems containsString="0" containsBlank="1" containsNumber="1" containsInteger="1" minValue="0" maxValue="25"/>
    </cacheField>
    <cacheField name="FALTANTES " numFmtId="0">
      <sharedItems containsString="0" containsBlank="1" containsNumber="1" containsInteger="1" minValue="0" maxValue="41"/>
    </cacheField>
    <cacheField name="RESPONSABLE " numFmtId="0">
      <sharedItems containsBlank="1" count="4">
        <s v="MIGUEL"/>
        <s v="HEIDY "/>
        <s v="WILLIAN"/>
        <m/>
      </sharedItems>
    </cacheField>
    <cacheField name="FECHA DE AJUSTE " numFmtId="0">
      <sharedItems containsNonDate="0" containsDate="1" containsString="0" containsBlank="1" minDate="2026-10-14T00:00:00" maxDate="2026-10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x v="0"/>
    <n v="100"/>
    <d v="2026-10-13T00:00:00"/>
    <n v="5"/>
    <n v="10"/>
    <x v="0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1"/>
    <x v="1"/>
    <m/>
    <m/>
    <m/>
    <m/>
    <x v="1"/>
    <m/>
  </r>
  <r>
    <x v="2"/>
    <x v="1"/>
    <m/>
    <m/>
    <m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x v="0"/>
    <n v="859"/>
    <d v="2026-10-13T00:00:00"/>
    <n v="2"/>
    <n v="2"/>
    <x v="0"/>
    <d v="2026-10-13T00:00:00"/>
  </r>
  <r>
    <x v="0"/>
    <x v="1"/>
    <n v="735"/>
    <d v="2026-10-13T00:00:00"/>
    <n v="4"/>
    <n v="1"/>
    <x v="0"/>
    <d v="2026-10-13T00:00:00"/>
  </r>
  <r>
    <x v="0"/>
    <x v="2"/>
    <n v="11135"/>
    <d v="2026-10-13T00:00:00"/>
    <n v="4"/>
    <n v="3"/>
    <x v="0"/>
    <d v="2026-10-13T00:00:00"/>
  </r>
  <r>
    <x v="0"/>
    <x v="3"/>
    <n v="2400"/>
    <d v="2026-10-13T00:00:00"/>
    <n v="0"/>
    <n v="0"/>
    <x v="1"/>
    <d v="2026-10-13T00:00:00"/>
  </r>
  <r>
    <x v="0"/>
    <x v="4"/>
    <n v="600"/>
    <d v="2026-10-13T00:00:00"/>
    <n v="0"/>
    <n v="0"/>
    <x v="1"/>
    <d v="2026-10-13T00:00:00"/>
  </r>
  <r>
    <x v="0"/>
    <x v="5"/>
    <n v="240"/>
    <d v="2026-10-13T00:00:00"/>
    <n v="0"/>
    <n v="0"/>
    <x v="1"/>
    <d v="2026-10-13T00:00:00"/>
  </r>
  <r>
    <x v="0"/>
    <x v="6"/>
    <n v="20150"/>
    <d v="2026-10-13T00:00:00"/>
    <n v="0"/>
    <n v="0"/>
    <x v="1"/>
    <d v="2026-10-13T00:00:00"/>
  </r>
  <r>
    <x v="0"/>
    <x v="7"/>
    <n v="14075"/>
    <d v="2026-10-13T00:00:00"/>
    <n v="0"/>
    <n v="0"/>
    <x v="1"/>
    <d v="2026-10-13T00:00:00"/>
  </r>
  <r>
    <x v="0"/>
    <x v="8"/>
    <n v="950"/>
    <d v="2026-10-13T00:00:00"/>
    <n v="0"/>
    <n v="0"/>
    <x v="1"/>
    <d v="2026-10-13T00:00:00"/>
  </r>
  <r>
    <x v="0"/>
    <x v="9"/>
    <n v="10900"/>
    <d v="2026-10-13T00:00:00"/>
    <n v="0"/>
    <n v="0"/>
    <x v="1"/>
    <d v="2026-10-13T00:00:00"/>
  </r>
  <r>
    <x v="0"/>
    <x v="10"/>
    <n v="400"/>
    <d v="2026-10-13T00:00:00"/>
    <n v="0"/>
    <n v="0"/>
    <x v="1"/>
    <d v="2026-10-13T00:00:00"/>
  </r>
  <r>
    <x v="0"/>
    <x v="11"/>
    <n v="1910"/>
    <d v="2026-10-13T00:00:00"/>
    <n v="0"/>
    <n v="0"/>
    <x v="1"/>
    <d v="2026-10-13T00:00:00"/>
  </r>
  <r>
    <x v="0"/>
    <x v="12"/>
    <n v="25060"/>
    <d v="2026-10-13T00:00:00"/>
    <n v="0"/>
    <n v="0"/>
    <x v="1"/>
    <d v="2026-10-13T00:00:00"/>
  </r>
  <r>
    <x v="0"/>
    <x v="13"/>
    <n v="2370"/>
    <d v="2026-10-13T00:00:00"/>
    <n v="0"/>
    <n v="0"/>
    <x v="1"/>
    <d v="2026-10-13T00:00:00"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1"/>
    <x v="14"/>
    <m/>
    <m/>
    <m/>
    <m/>
    <x v="2"/>
    <m/>
  </r>
  <r>
    <x v="2"/>
    <x v="14"/>
    <m/>
    <m/>
    <m/>
    <m/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56"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0"/>
    <x v="0"/>
    <m/>
    <m/>
    <m/>
    <m/>
    <x v="0"/>
    <m/>
  </r>
  <r>
    <x v="1"/>
    <x v="0"/>
    <m/>
    <m/>
    <m/>
    <m/>
    <x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2">
  <r>
    <x v="0"/>
    <x v="0"/>
    <n v="2405"/>
    <d v="2026-10-14T00:00:00"/>
    <n v="0"/>
    <n v="0"/>
    <x v="0"/>
    <m/>
  </r>
  <r>
    <x v="0"/>
    <x v="1"/>
    <n v="10662"/>
    <d v="2026-10-15T00:00:00"/>
    <n v="10"/>
    <n v="0"/>
    <x v="0"/>
    <m/>
  </r>
  <r>
    <x v="0"/>
    <x v="2"/>
    <n v="208"/>
    <d v="2026-10-16T00:00:00"/>
    <n v="0"/>
    <n v="0"/>
    <x v="0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1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  <r>
    <x v="2"/>
    <x v="3"/>
    <m/>
    <m/>
    <m/>
    <m/>
    <x v="1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x v="0"/>
    <n v="74"/>
    <d v="2026-10-07T00:00:00"/>
    <m/>
    <m/>
    <x v="0"/>
    <m/>
  </r>
  <r>
    <x v="0"/>
    <x v="1"/>
    <n v="80"/>
    <d v="2026-10-13T00:00:00"/>
    <m/>
    <m/>
    <x v="0"/>
    <m/>
  </r>
  <r>
    <x v="0"/>
    <x v="2"/>
    <n v="151"/>
    <d v="2026-10-06T00:00:00"/>
    <m/>
    <m/>
    <x v="0"/>
    <m/>
  </r>
  <r>
    <x v="0"/>
    <x v="3"/>
    <n v="348"/>
    <d v="2026-10-08T00:00:00"/>
    <m/>
    <m/>
    <x v="0"/>
    <m/>
  </r>
  <r>
    <x v="0"/>
    <x v="4"/>
    <n v="30"/>
    <d v="2026-10-13T00:00:00"/>
    <m/>
    <m/>
    <x v="0"/>
    <m/>
  </r>
  <r>
    <x v="0"/>
    <x v="5"/>
    <n v="5140"/>
    <d v="2026-10-05T00:00:00"/>
    <m/>
    <m/>
    <x v="0"/>
    <m/>
  </r>
  <r>
    <x v="0"/>
    <x v="6"/>
    <n v="392"/>
    <d v="2026-10-10T00:00:00"/>
    <m/>
    <m/>
    <x v="0"/>
    <m/>
  </r>
  <r>
    <x v="0"/>
    <x v="7"/>
    <m/>
    <d v="2026-10-01T00:00:00"/>
    <m/>
    <m/>
    <x v="0"/>
    <m/>
  </r>
  <r>
    <x v="0"/>
    <x v="8"/>
    <n v="17"/>
    <d v="2026-10-06T00:00:00"/>
    <m/>
    <m/>
    <x v="1"/>
    <m/>
  </r>
  <r>
    <x v="0"/>
    <x v="9"/>
    <n v="1"/>
    <d v="2026-10-06T00:00:00"/>
    <m/>
    <m/>
    <x v="1"/>
    <m/>
  </r>
  <r>
    <x v="0"/>
    <x v="10"/>
    <n v="31"/>
    <d v="2026-10-09T00:00:00"/>
    <m/>
    <m/>
    <x v="0"/>
    <m/>
  </r>
  <r>
    <x v="0"/>
    <x v="11"/>
    <n v="29"/>
    <d v="2026-10-08T00:00:00"/>
    <m/>
    <m/>
    <x v="0"/>
    <m/>
  </r>
  <r>
    <x v="0"/>
    <x v="12"/>
    <n v="26"/>
    <d v="2026-10-05T00:00:00"/>
    <m/>
    <m/>
    <x v="0"/>
    <m/>
  </r>
  <r>
    <x v="0"/>
    <x v="13"/>
    <n v="5"/>
    <d v="2026-10-01T00:00:00"/>
    <m/>
    <m/>
    <x v="2"/>
    <m/>
  </r>
  <r>
    <x v="0"/>
    <x v="14"/>
    <n v="44"/>
    <d v="2026-10-01T00:00:00"/>
    <m/>
    <m/>
    <x v="2"/>
    <m/>
  </r>
  <r>
    <x v="0"/>
    <x v="15"/>
    <n v="61"/>
    <d v="2026-10-05T00:00:00"/>
    <m/>
    <m/>
    <x v="0"/>
    <m/>
  </r>
  <r>
    <x v="0"/>
    <x v="16"/>
    <n v="19"/>
    <d v="2026-10-13T00:00:00"/>
    <m/>
    <m/>
    <x v="0"/>
    <m/>
  </r>
  <r>
    <x v="0"/>
    <x v="17"/>
    <n v="34"/>
    <d v="2026-10-05T00:00:00"/>
    <m/>
    <m/>
    <x v="0"/>
    <m/>
  </r>
  <r>
    <x v="0"/>
    <x v="18"/>
    <n v="1"/>
    <d v="2026-10-05T00:00:00"/>
    <m/>
    <m/>
    <x v="0"/>
    <m/>
  </r>
  <r>
    <x v="0"/>
    <x v="19"/>
    <n v="31"/>
    <d v="2026-10-05T00:00:00"/>
    <m/>
    <m/>
    <x v="0"/>
    <m/>
  </r>
  <r>
    <x v="0"/>
    <x v="20"/>
    <n v="22"/>
    <d v="2026-10-05T00:00:00"/>
    <m/>
    <m/>
    <x v="0"/>
    <m/>
  </r>
  <r>
    <x v="0"/>
    <x v="21"/>
    <n v="7"/>
    <d v="2026-10-05T00:00:00"/>
    <m/>
    <m/>
    <x v="0"/>
    <m/>
  </r>
  <r>
    <x v="0"/>
    <x v="22"/>
    <n v="24"/>
    <d v="2026-10-05T00:00:00"/>
    <m/>
    <m/>
    <x v="0"/>
    <m/>
  </r>
  <r>
    <x v="0"/>
    <x v="23"/>
    <n v="19"/>
    <d v="2026-10-05T00:00:00"/>
    <m/>
    <m/>
    <x v="0"/>
    <m/>
  </r>
  <r>
    <x v="0"/>
    <x v="24"/>
    <n v="4"/>
    <d v="2026-10-05T00:00:00"/>
    <m/>
    <m/>
    <x v="0"/>
    <m/>
  </r>
  <r>
    <x v="0"/>
    <x v="25"/>
    <n v="3"/>
    <d v="2026-10-05T00:00:00"/>
    <m/>
    <m/>
    <x v="0"/>
    <m/>
  </r>
  <r>
    <x v="0"/>
    <x v="26"/>
    <n v="60"/>
    <d v="2026-10-05T00:00:00"/>
    <m/>
    <m/>
    <x v="0"/>
    <m/>
  </r>
  <r>
    <x v="0"/>
    <x v="27"/>
    <n v="26"/>
    <d v="2026-10-05T00:00:00"/>
    <m/>
    <m/>
    <x v="0"/>
    <m/>
  </r>
  <r>
    <x v="0"/>
    <x v="28"/>
    <n v="9"/>
    <d v="2026-10-05T00:00:00"/>
    <m/>
    <m/>
    <x v="0"/>
    <m/>
  </r>
  <r>
    <x v="0"/>
    <x v="29"/>
    <n v="36"/>
    <d v="2026-10-05T00:00:00"/>
    <m/>
    <m/>
    <x v="0"/>
    <m/>
  </r>
  <r>
    <x v="0"/>
    <x v="30"/>
    <n v="48"/>
    <d v="2026-10-05T00:00:00"/>
    <m/>
    <m/>
    <x v="0"/>
    <m/>
  </r>
  <r>
    <x v="0"/>
    <x v="31"/>
    <n v="20"/>
    <d v="2026-10-05T00:00:00"/>
    <m/>
    <m/>
    <x v="0"/>
    <m/>
  </r>
  <r>
    <x v="0"/>
    <x v="32"/>
    <n v="11"/>
    <d v="2026-10-05T00:00:00"/>
    <m/>
    <m/>
    <x v="0"/>
    <m/>
  </r>
  <r>
    <x v="0"/>
    <x v="33"/>
    <n v="4"/>
    <d v="2026-10-05T00:00:00"/>
    <m/>
    <m/>
    <x v="0"/>
    <m/>
  </r>
  <r>
    <x v="0"/>
    <x v="34"/>
    <n v="4"/>
    <d v="2026-10-05T00:00:00"/>
    <m/>
    <m/>
    <x v="0"/>
    <m/>
  </r>
  <r>
    <x v="0"/>
    <x v="35"/>
    <n v="1"/>
    <d v="2026-10-05T00:00:00"/>
    <m/>
    <m/>
    <x v="0"/>
    <m/>
  </r>
  <r>
    <x v="0"/>
    <x v="36"/>
    <n v="9"/>
    <d v="2026-10-05T00:00:00"/>
    <m/>
    <m/>
    <x v="0"/>
    <m/>
  </r>
  <r>
    <x v="0"/>
    <x v="37"/>
    <n v="8"/>
    <d v="2026-10-05T00:00:00"/>
    <m/>
    <m/>
    <x v="0"/>
    <m/>
  </r>
  <r>
    <x v="0"/>
    <x v="38"/>
    <n v="7"/>
    <d v="2026-10-05T00:00:00"/>
    <m/>
    <m/>
    <x v="0"/>
    <m/>
  </r>
  <r>
    <x v="0"/>
    <x v="39"/>
    <n v="19"/>
    <d v="2026-10-05T00:00:00"/>
    <m/>
    <m/>
    <x v="0"/>
    <m/>
  </r>
  <r>
    <x v="0"/>
    <x v="40"/>
    <n v="4"/>
    <d v="2026-10-05T00:00:00"/>
    <m/>
    <m/>
    <x v="0"/>
    <m/>
  </r>
  <r>
    <x v="0"/>
    <x v="41"/>
    <n v="367"/>
    <d v="2026-10-14T00:00:00"/>
    <n v="3"/>
    <n v="1"/>
    <x v="0"/>
    <m/>
  </r>
  <r>
    <x v="0"/>
    <x v="42"/>
    <n v="1284"/>
    <d v="2026-10-15T00:00:00"/>
    <m/>
    <m/>
    <x v="0"/>
    <m/>
  </r>
  <r>
    <x v="0"/>
    <x v="43"/>
    <n v="11"/>
    <d v="2026-10-15T00:00:00"/>
    <m/>
    <m/>
    <x v="2"/>
    <m/>
  </r>
  <r>
    <x v="0"/>
    <x v="44"/>
    <n v="0"/>
    <d v="2026-10-15T00:00:00"/>
    <m/>
    <m/>
    <x v="2"/>
    <m/>
  </r>
  <r>
    <x v="0"/>
    <x v="45"/>
    <n v="6"/>
    <d v="2026-10-15T00:00:00"/>
    <m/>
    <m/>
    <x v="2"/>
    <m/>
  </r>
  <r>
    <x v="0"/>
    <x v="46"/>
    <n v="1"/>
    <d v="2026-10-15T00:00:00"/>
    <m/>
    <m/>
    <x v="3"/>
    <m/>
  </r>
  <r>
    <x v="0"/>
    <x v="47"/>
    <n v="31"/>
    <d v="2026-10-15T00:00:00"/>
    <m/>
    <m/>
    <x v="0"/>
    <m/>
  </r>
  <r>
    <x v="0"/>
    <x v="48"/>
    <n v="60"/>
    <d v="2026-10-05T00:00:00"/>
    <m/>
    <m/>
    <x v="0"/>
    <m/>
  </r>
  <r>
    <x v="0"/>
    <x v="49"/>
    <n v="7"/>
    <d v="2026-10-05T00:00:00"/>
    <m/>
    <m/>
    <x v="0"/>
    <m/>
  </r>
  <r>
    <x v="0"/>
    <x v="50"/>
    <n v="26"/>
    <d v="2026-10-05T00:00:00"/>
    <m/>
    <m/>
    <x v="0"/>
    <m/>
  </r>
  <r>
    <x v="0"/>
    <x v="51"/>
    <n v="10"/>
    <d v="2026-10-05T00:00:00"/>
    <m/>
    <m/>
    <x v="0"/>
    <m/>
  </r>
  <r>
    <x v="0"/>
    <x v="52"/>
    <n v="14"/>
    <d v="2026-10-05T00:00:00"/>
    <m/>
    <m/>
    <x v="0"/>
    <m/>
  </r>
  <r>
    <x v="0"/>
    <x v="53"/>
    <n v="1"/>
    <d v="2026-10-15T00:00:00"/>
    <m/>
    <m/>
    <x v="0"/>
    <m/>
  </r>
  <r>
    <x v="0"/>
    <x v="54"/>
    <n v="28"/>
    <d v="2026-10-05T00:00:00"/>
    <m/>
    <m/>
    <x v="0"/>
    <m/>
  </r>
  <r>
    <x v="0"/>
    <x v="55"/>
    <n v="4"/>
    <d v="2026-10-05T00:00:00"/>
    <m/>
    <m/>
    <x v="0"/>
    <m/>
  </r>
  <r>
    <x v="0"/>
    <x v="56"/>
    <n v="33"/>
    <d v="2026-10-05T00:00:00"/>
    <m/>
    <m/>
    <x v="0"/>
    <m/>
  </r>
  <r>
    <x v="0"/>
    <x v="57"/>
    <n v="8"/>
    <d v="2026-10-05T00:00:00"/>
    <m/>
    <m/>
    <x v="0"/>
    <m/>
  </r>
  <r>
    <x v="0"/>
    <x v="58"/>
    <n v="8"/>
    <d v="2026-10-05T00:00:00"/>
    <m/>
    <m/>
    <x v="0"/>
    <m/>
  </r>
  <r>
    <x v="0"/>
    <x v="59"/>
    <n v="15"/>
    <d v="2026-10-05T00:00:00"/>
    <m/>
    <m/>
    <x v="0"/>
    <m/>
  </r>
  <r>
    <x v="0"/>
    <x v="60"/>
    <n v="8"/>
    <d v="2026-10-05T00:00:00"/>
    <m/>
    <m/>
    <x v="0"/>
    <m/>
  </r>
  <r>
    <x v="0"/>
    <x v="61"/>
    <n v="1"/>
    <d v="2026-10-05T00:00:00"/>
    <m/>
    <m/>
    <x v="0"/>
    <m/>
  </r>
  <r>
    <x v="0"/>
    <x v="62"/>
    <n v="4"/>
    <d v="2026-10-05T00:00:00"/>
    <m/>
    <m/>
    <x v="0"/>
    <m/>
  </r>
  <r>
    <x v="0"/>
    <x v="63"/>
    <n v="2"/>
    <d v="2026-10-05T00:00:00"/>
    <m/>
    <m/>
    <x v="0"/>
    <m/>
  </r>
  <r>
    <x v="0"/>
    <x v="64"/>
    <n v="0"/>
    <d v="2026-10-15T00:00:00"/>
    <m/>
    <m/>
    <x v="3"/>
    <m/>
  </r>
  <r>
    <x v="0"/>
    <x v="65"/>
    <n v="1"/>
    <d v="2026-10-05T00:00:00"/>
    <m/>
    <m/>
    <x v="0"/>
    <m/>
  </r>
  <r>
    <x v="0"/>
    <x v="66"/>
    <n v="3"/>
    <d v="2026-10-05T00:00:00"/>
    <m/>
    <m/>
    <x v="0"/>
    <m/>
  </r>
  <r>
    <x v="0"/>
    <x v="67"/>
    <n v="6"/>
    <d v="2026-10-05T00:00:00"/>
    <m/>
    <m/>
    <x v="0"/>
    <m/>
  </r>
  <r>
    <x v="0"/>
    <x v="68"/>
    <n v="215"/>
    <d v="2026-10-05T00:00:00"/>
    <m/>
    <m/>
    <x v="0"/>
    <m/>
  </r>
  <r>
    <x v="0"/>
    <x v="69"/>
    <n v="6"/>
    <d v="2026-10-05T00:00:00"/>
    <m/>
    <m/>
    <x v="0"/>
    <m/>
  </r>
  <r>
    <x v="0"/>
    <x v="70"/>
    <n v="20"/>
    <d v="2026-10-05T00:00:00"/>
    <m/>
    <m/>
    <x v="0"/>
    <m/>
  </r>
  <r>
    <x v="0"/>
    <x v="71"/>
    <n v="8"/>
    <d v="2026-10-05T00:00:00"/>
    <m/>
    <m/>
    <x v="0"/>
    <m/>
  </r>
  <r>
    <x v="0"/>
    <x v="72"/>
    <n v="10"/>
    <d v="2026-10-15T00:00:00"/>
    <n v="1"/>
    <n v="1"/>
    <x v="3"/>
    <m/>
  </r>
  <r>
    <x v="0"/>
    <x v="73"/>
    <n v="10"/>
    <d v="2026-10-05T00:00:00"/>
    <m/>
    <m/>
    <x v="0"/>
    <m/>
  </r>
  <r>
    <x v="0"/>
    <x v="74"/>
    <n v="1"/>
    <d v="2026-10-05T00:00:00"/>
    <m/>
    <m/>
    <x v="0"/>
    <m/>
  </r>
  <r>
    <x v="0"/>
    <x v="75"/>
    <n v="9"/>
    <d v="2026-10-05T00:00:00"/>
    <m/>
    <m/>
    <x v="0"/>
    <m/>
  </r>
  <r>
    <x v="0"/>
    <x v="76"/>
    <n v="3"/>
    <d v="2026-10-05T00:00:00"/>
    <m/>
    <m/>
    <x v="0"/>
    <m/>
  </r>
  <r>
    <x v="0"/>
    <x v="77"/>
    <n v="0"/>
    <d v="2026-10-16T00:00:00"/>
    <m/>
    <m/>
    <x v="3"/>
    <m/>
  </r>
  <r>
    <x v="0"/>
    <x v="78"/>
    <n v="9"/>
    <d v="2026-10-16T00:00:00"/>
    <m/>
    <m/>
    <x v="0"/>
    <m/>
  </r>
  <r>
    <x v="0"/>
    <x v="79"/>
    <n v="2"/>
    <d v="2026-10-05T00:00:00"/>
    <m/>
    <m/>
    <x v="0"/>
    <m/>
  </r>
  <r>
    <x v="0"/>
    <x v="80"/>
    <n v="1"/>
    <d v="2026-10-16T00:00:00"/>
    <m/>
    <n v="1"/>
    <x v="3"/>
    <m/>
  </r>
  <r>
    <x v="0"/>
    <x v="81"/>
    <n v="1"/>
    <d v="2026-10-16T00:00:00"/>
    <m/>
    <n v="1"/>
    <x v="3"/>
    <m/>
  </r>
  <r>
    <x v="0"/>
    <x v="82"/>
    <n v="5"/>
    <d v="2026-10-05T00:00:00"/>
    <m/>
    <m/>
    <x v="0"/>
    <m/>
  </r>
  <r>
    <x v="0"/>
    <x v="83"/>
    <n v="2"/>
    <d v="2026-10-05T00:00:00"/>
    <m/>
    <m/>
    <x v="0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1"/>
    <x v="84"/>
    <m/>
    <m/>
    <m/>
    <m/>
    <x v="4"/>
    <m/>
  </r>
  <r>
    <x v="2"/>
    <x v="84"/>
    <m/>
    <m/>
    <m/>
    <m/>
    <x v="4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456">
  <r>
    <x v="0"/>
    <x v="0"/>
    <n v="637"/>
    <d v="2026-10-14T00:00:00"/>
    <n v="1"/>
    <n v="1"/>
    <x v="0"/>
    <d v="2026-10-14T00:00:00"/>
  </r>
  <r>
    <x v="0"/>
    <x v="1"/>
    <n v="1925"/>
    <d v="2026-10-07T00:00:00"/>
    <n v="1"/>
    <n v="1"/>
    <x v="0"/>
    <m/>
  </r>
  <r>
    <x v="0"/>
    <x v="2"/>
    <n v="404"/>
    <d v="2026-10-07T00:00:00"/>
    <n v="0"/>
    <n v="0"/>
    <x v="1"/>
    <m/>
  </r>
  <r>
    <x v="0"/>
    <x v="3"/>
    <n v="803"/>
    <d v="2026-10-07T00:00:00"/>
    <n v="4"/>
    <n v="4"/>
    <x v="1"/>
    <m/>
  </r>
  <r>
    <x v="0"/>
    <x v="4"/>
    <n v="101"/>
    <d v="2026-10-08T00:00:00"/>
    <n v="0"/>
    <n v="0"/>
    <x v="1"/>
    <m/>
  </r>
  <r>
    <x v="0"/>
    <x v="5"/>
    <n v="1872"/>
    <d v="2026-10-05T00:00:00"/>
    <n v="13"/>
    <n v="12"/>
    <x v="0"/>
    <m/>
  </r>
  <r>
    <x v="0"/>
    <x v="6"/>
    <n v="940"/>
    <d v="2026-10-09T00:00:00"/>
    <n v="0"/>
    <n v="1"/>
    <x v="1"/>
    <m/>
  </r>
  <r>
    <x v="0"/>
    <x v="7"/>
    <n v="181"/>
    <d v="2026-10-08T00:00:00"/>
    <n v="0"/>
    <n v="0"/>
    <x v="0"/>
    <m/>
  </r>
  <r>
    <x v="0"/>
    <x v="8"/>
    <n v="503"/>
    <d v="2026-10-07T00:00:00"/>
    <n v="1"/>
    <n v="1"/>
    <x v="0"/>
    <m/>
  </r>
  <r>
    <x v="0"/>
    <x v="9"/>
    <n v="580"/>
    <d v="2026-10-14T00:00:00"/>
    <n v="0"/>
    <n v="0"/>
    <x v="2"/>
    <m/>
  </r>
  <r>
    <x v="0"/>
    <x v="10"/>
    <n v="1893"/>
    <d v="2026-10-13T00:00:00"/>
    <n v="2"/>
    <n v="2"/>
    <x v="2"/>
    <m/>
  </r>
  <r>
    <x v="0"/>
    <x v="11"/>
    <n v="525"/>
    <d v="2026-10-10T00:00:00"/>
    <n v="24"/>
    <n v="24"/>
    <x v="2"/>
    <m/>
  </r>
  <r>
    <x v="0"/>
    <x v="12"/>
    <n v="409"/>
    <d v="2026-10-08T00:00:00"/>
    <n v="1"/>
    <n v="0"/>
    <x v="2"/>
    <m/>
  </r>
  <r>
    <x v="0"/>
    <x v="13"/>
    <n v="1419"/>
    <d v="2026-10-08T00:00:00"/>
    <n v="3"/>
    <n v="4"/>
    <x v="2"/>
    <m/>
  </r>
  <r>
    <x v="0"/>
    <x v="14"/>
    <n v="163"/>
    <d v="2026-10-07T00:00:00"/>
    <n v="1"/>
    <n v="3"/>
    <x v="2"/>
    <m/>
  </r>
  <r>
    <x v="0"/>
    <x v="15"/>
    <n v="3617"/>
    <d v="2026-10-10T00:00:00"/>
    <n v="6"/>
    <n v="41"/>
    <x v="1"/>
    <m/>
  </r>
  <r>
    <x v="0"/>
    <x v="16"/>
    <n v="3037"/>
    <d v="2026-10-02T00:00:00"/>
    <n v="25"/>
    <n v="38"/>
    <x v="0"/>
    <m/>
  </r>
  <r>
    <x v="0"/>
    <x v="17"/>
    <n v="217"/>
    <d v="2026-10-14T00:00:00"/>
    <n v="0"/>
    <n v="0"/>
    <x v="0"/>
    <m/>
  </r>
  <r>
    <x v="0"/>
    <x v="18"/>
    <n v="215"/>
    <d v="2026-10-14T00:00:00"/>
    <n v="0"/>
    <n v="0"/>
    <x v="1"/>
    <m/>
  </r>
  <r>
    <x v="0"/>
    <x v="19"/>
    <n v="24"/>
    <d v="2026-10-08T00:00:00"/>
    <n v="0"/>
    <n v="0"/>
    <x v="2"/>
    <m/>
  </r>
  <r>
    <x v="0"/>
    <x v="20"/>
    <n v="6"/>
    <d v="2026-10-08T00:00:00"/>
    <n v="0"/>
    <n v="0"/>
    <x v="2"/>
    <m/>
  </r>
  <r>
    <x v="0"/>
    <x v="21"/>
    <n v="379"/>
    <d v="2026-10-03T00:00:00"/>
    <n v="0"/>
    <n v="0"/>
    <x v="2"/>
    <m/>
  </r>
  <r>
    <x v="0"/>
    <x v="22"/>
    <n v="449"/>
    <d v="2026-10-15T00:00:00"/>
    <n v="1"/>
    <n v="1"/>
    <x v="2"/>
    <m/>
  </r>
  <r>
    <x v="1"/>
    <x v="23"/>
    <n v="433"/>
    <d v="2026-03-10T00:00:00"/>
    <n v="0"/>
    <n v="0"/>
    <x v="2"/>
    <m/>
  </r>
  <r>
    <x v="0"/>
    <x v="24"/>
    <n v="282"/>
    <d v="2026-10-03T00:00:00"/>
    <n v="0"/>
    <n v="0"/>
    <x v="2"/>
    <m/>
  </r>
  <r>
    <x v="0"/>
    <x v="25"/>
    <n v="182"/>
    <d v="2026-10-03T00:00:00"/>
    <n v="0"/>
    <n v="0"/>
    <x v="2"/>
    <m/>
  </r>
  <r>
    <x v="0"/>
    <x v="26"/>
    <n v="574"/>
    <d v="2026-10-05T00:00:00"/>
    <n v="0"/>
    <n v="0"/>
    <x v="2"/>
    <m/>
  </r>
  <r>
    <x v="0"/>
    <x v="27"/>
    <n v="57"/>
    <d v="2026-10-05T00:00:00"/>
    <n v="0"/>
    <n v="0"/>
    <x v="2"/>
    <m/>
  </r>
  <r>
    <x v="0"/>
    <x v="28"/>
    <n v="792"/>
    <d v="2026-10-05T00:00:00"/>
    <n v="0"/>
    <n v="0"/>
    <x v="2"/>
    <m/>
  </r>
  <r>
    <x v="0"/>
    <x v="29"/>
    <n v="583"/>
    <d v="2026-10-06T00:00:00"/>
    <n v="0"/>
    <n v="0"/>
    <x v="2"/>
    <m/>
  </r>
  <r>
    <x v="0"/>
    <x v="30"/>
    <n v="770"/>
    <d v="2026-10-15T00:00:00"/>
    <n v="1"/>
    <n v="1"/>
    <x v="0"/>
    <m/>
  </r>
  <r>
    <x v="0"/>
    <x v="31"/>
    <n v="1557"/>
    <d v="2026-10-16T00:00:00"/>
    <n v="2"/>
    <n v="1"/>
    <x v="0"/>
    <m/>
  </r>
  <r>
    <x v="0"/>
    <x v="32"/>
    <n v="1859"/>
    <d v="2026-10-15T00:00:00"/>
    <n v="18"/>
    <n v="3"/>
    <x v="2"/>
    <m/>
  </r>
  <r>
    <x v="0"/>
    <x v="33"/>
    <n v="89"/>
    <d v="2026-10-17T00:00:00"/>
    <n v="1"/>
    <n v="1"/>
    <x v="2"/>
    <m/>
  </r>
  <r>
    <x v="0"/>
    <x v="34"/>
    <n v="20"/>
    <d v="2026-10-17T00:00:00"/>
    <n v="0"/>
    <n v="0"/>
    <x v="2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2"/>
    <x v="35"/>
    <m/>
    <m/>
    <m/>
    <m/>
    <x v="3"/>
    <m/>
  </r>
  <r>
    <x v="3"/>
    <x v="35"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J28:N31" firstHeaderRow="1" firstDataRow="2" firstDataCol="1" rowPageCount="2" colPageCount="1"/>
  <pivotFields count="8"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 defaultSubtotal="0">
      <items count="7">
        <item x="3"/>
        <item x="0"/>
        <item m="1" x="4"/>
        <item m="1" x="5"/>
        <item m="1" x="6"/>
        <item x="1"/>
        <item x="2"/>
      </items>
    </pivotField>
    <pivotField dataField="1" showAll="0"/>
    <pivotField showAll="0"/>
    <pivotField dataField="1" showAll="0"/>
    <pivotField dataField="1" showAll="0"/>
    <pivotField axis="axisRow" showAll="0">
      <items count="5">
        <item x="1"/>
        <item x="0"/>
        <item m="1" x="2"/>
        <item m="1"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Suma de TOTAL UNIDADES" fld="2" baseField="5" baseItem="1"/>
    <dataField name="INVENTARIO" fld="2" subtotal="count" baseField="5" baseItem="1"/>
    <dataField name="Suma de SOBRANTES " fld="4" baseField="0" baseItem="0"/>
    <dataField name="Suma de FALTANTES 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N24:R26" firstHeaderRow="0" firstDataRow="1" firstDataCol="1" rowPageCount="2" colPageCount="1"/>
  <pivotFields count="8">
    <pivotField axis="axisPage" multipleItemSelectionAllowed="1" showAll="0">
      <items count="4">
        <item h="1" x="1"/>
        <item h="1"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 sumSubtotal="1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Suma de TOTAL UNIDADES2" fld="2" baseField="5" baseItem="0"/>
    <dataField name="Cuenta de TOTAL UNIDADES" fld="2" subtotal="count" baseField="0" baseItem="0"/>
    <dataField name="Suma de SOBRANTES " fld="4" baseField="0" baseItem="0"/>
    <dataField name="Suma de FALTANTES 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3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>
  <location ref="N23:Q27" firstHeaderRow="0" firstDataRow="1" firstDataCol="1" rowPageCount="2" colPageCount="1"/>
  <pivotFields count="8">
    <pivotField axis="axisPage" multipleItemSelectionAllowed="1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38">
        <item x="35"/>
        <item x="0"/>
        <item m="1" x="3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showAll="0"/>
    <pivotField dataField="1" showAll="0"/>
    <pivotField dataField="1" showAll="0"/>
    <pivotField axis="axisRow" showAll="0">
      <items count="5">
        <item h="1" x="3"/>
        <item x="0"/>
        <item x="2"/>
        <item x="1"/>
        <item t="default"/>
      </items>
    </pivotField>
    <pivotField showAll="0"/>
  </pivotFields>
  <rowFields count="1">
    <field x="6"/>
  </rowFields>
  <rowItems count="4"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TOTAL UNIDADES" fld="2" baseField="5" baseItem="0"/>
    <dataField name="Cuenta de FALTANTES " fld="5" subtotal="count" baseField="0" baseItem="0"/>
    <dataField name="Suma de SOBRANTES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4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7" indent="0" outline="1" outlineData="1" multipleFieldFilters="0">
  <location ref="N23:R26" firstHeaderRow="0" firstDataRow="1" firstDataCol="1" rowPageCount="2" colPageCount="1"/>
  <pivotFields count="8">
    <pivotField axis="axisPage" multipleItemSelectionAllowed="1" showAll="0">
      <items count="4">
        <item x="1"/>
        <item x="2"/>
        <item x="0"/>
        <item t="default"/>
      </items>
    </pivotField>
    <pivotField axis="axisPage" multipleItemSelectionAllowed="1" showAll="0">
      <items count="1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dataField="1" showAll="0"/>
    <pivotField dataField="1" showAll="0"/>
    <pivotField axis="axisRow" showAll="0">
      <items count="4">
        <item h="1" x="2"/>
        <item x="0"/>
        <item x="1"/>
        <item t="default"/>
      </items>
    </pivotField>
    <pivotField showAll="0"/>
  </pivotFields>
  <rowFields count="1">
    <field x="6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Suma de TOTAL UNIDADES" fld="2" baseField="5" baseItem="0"/>
    <dataField name="Cuenta de TOTAL UNIDADES2" fld="2" subtotal="count" baseField="0" baseItem="0"/>
    <dataField name="Cuenta de SOBRANTES " fld="4" subtotal="count" baseField="0" baseItem="0"/>
    <dataField name="Cuenta de FALTANTES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N26:R32" firstHeaderRow="0" firstDataRow="1" firstDataCol="1" rowPageCount="2" colPageCount="1"/>
  <pivotFields count="8">
    <pivotField axis="axisPage" multipleItemSelectionAllowed="1" showAll="0">
      <items count="4">
        <item x="1"/>
        <item x="2"/>
        <item x="0"/>
        <item t="default"/>
      </items>
    </pivotField>
    <pivotField axis="axisPage" multipleItemSelectionAllowed="1" showAll="0">
      <items count="86">
        <item x="84"/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dataField="1" showAll="0"/>
    <pivotField showAll="0"/>
    <pivotField dataField="1" showAll="0"/>
    <pivotField dataField="1"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Suma de TOTAL UNIDADES" fld="2" baseField="5" baseItem="0"/>
    <dataField name="Cuenta de TOTAL UNIDADES2" fld="2" subtotal="count" baseField="0" baseItem="0"/>
    <dataField name="Cuenta de SOBRANTES " fld="4" subtotal="count" baseField="0" baseItem="0"/>
    <dataField name="Cuenta de FALTANTES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6" cacheId="2" applyNumberFormats="0" applyBorderFormats="0" applyFontFormats="0" applyPatternFormats="0" applyAlignmentFormats="0" applyWidthHeightFormats="1" dataCaption="Valores" updatedVersion="4" minRefreshableVersion="3" useAutoFormatting="1" itemPrintTitles="1" createdVersion="7" indent="0" outline="1" outlineData="1" multipleFieldFilters="0">
  <location ref="N26:R28" firstHeaderRow="0" firstDataRow="1" firstDataCol="1" rowPageCount="2" colPageCount="1"/>
  <pivotFields count="8">
    <pivotField axis="axisPage" multipleItemSelectionAllowed="1" showAll="0">
      <items count="5">
        <item x="0"/>
        <item x="1"/>
        <item m="1" x="2"/>
        <item m="1" x="3"/>
        <item t="default"/>
      </items>
    </pivotField>
    <pivotField axis="axisPage" multipleItemSelectionAllowed="1" showAll="0">
      <items count="4">
        <item x="0"/>
        <item m="1" x="1"/>
        <item m="1" x="2"/>
        <item t="default"/>
      </items>
    </pivotField>
    <pivotField dataField="1" showAll="0"/>
    <pivotField showAll="0"/>
    <pivotField dataField="1" showAll="0"/>
    <pivotField dataField="1" showAll="0"/>
    <pivotField axis="axisRow" showAll="0">
      <items count="4">
        <item x="0"/>
        <item m="1" x="1"/>
        <item m="1" x="2"/>
        <item t="default"/>
      </items>
    </pivotField>
    <pivotField showAll="0"/>
  </pivotFields>
  <rowFields count="1">
    <field x="6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Suma de TOTAL UNIDADES" fld="2" baseField="5" baseItem="0"/>
    <dataField name="Cuenta de TOTAL UNIDADES2" fld="2" subtotal="count" baseField="0" baseItem="0"/>
    <dataField name="Cuenta de SOBRANTES " fld="4" subtotal="count" baseField="0" baseItem="0"/>
    <dataField name="Cuenta de FALTANTES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3"/>
  <sheetViews>
    <sheetView topLeftCell="B1" workbookViewId="0">
      <selection activeCell="L22" sqref="L22"/>
    </sheetView>
  </sheetViews>
  <sheetFormatPr baseColWidth="10" defaultRowHeight="15" x14ac:dyDescent="0.25"/>
  <cols>
    <col min="1" max="1" width="0" hidden="1" customWidth="1"/>
    <col min="2" max="3" width="21.28515625" customWidth="1"/>
    <col min="4" max="4" width="22.140625" style="44" bestFit="1" customWidth="1"/>
    <col min="5" max="5" width="22.140625" style="8" customWidth="1"/>
    <col min="6" max="6" width="15.5703125" style="8" customWidth="1"/>
    <col min="7" max="7" width="15.28515625" style="8" customWidth="1"/>
    <col min="8" max="8" width="16.85546875" style="8" bestFit="1" customWidth="1"/>
    <col min="9" max="9" width="6.5703125" style="22" customWidth="1"/>
    <col min="10" max="10" width="17.5703125" bestFit="1" customWidth="1"/>
    <col min="11" max="11" width="24.5703125" style="15" bestFit="1" customWidth="1"/>
    <col min="12" max="12" width="22.5703125" bestFit="1" customWidth="1"/>
    <col min="13" max="13" width="20" bestFit="1" customWidth="1"/>
    <col min="14" max="14" width="19.42578125" bestFit="1" customWidth="1"/>
    <col min="15" max="15" width="21.7109375" bestFit="1" customWidth="1"/>
    <col min="16" max="16" width="20.28515625" customWidth="1"/>
    <col min="17" max="17" width="10.7109375" style="8" bestFit="1" customWidth="1"/>
    <col min="18" max="18" width="15" bestFit="1" customWidth="1"/>
    <col min="19" max="19" width="15.85546875" bestFit="1" customWidth="1"/>
    <col min="20" max="20" width="12.140625" bestFit="1" customWidth="1"/>
    <col min="21" max="21" width="8.7109375" bestFit="1" customWidth="1"/>
    <col min="22" max="22" width="29.5703125" bestFit="1" customWidth="1"/>
    <col min="23" max="23" width="17.140625" bestFit="1" customWidth="1"/>
  </cols>
  <sheetData>
    <row r="1" spans="1:17" ht="28.5" x14ac:dyDescent="0.45">
      <c r="A1" s="52" t="s">
        <v>608</v>
      </c>
      <c r="B1" s="52"/>
      <c r="C1" s="52"/>
      <c r="D1" s="52"/>
      <c r="E1" s="52"/>
      <c r="F1" s="52"/>
      <c r="G1" s="52"/>
      <c r="H1" s="53"/>
      <c r="J1" s="50" t="s">
        <v>609</v>
      </c>
      <c r="K1" s="50"/>
      <c r="L1" s="50"/>
      <c r="M1" s="50"/>
      <c r="N1" s="50"/>
      <c r="O1" s="50"/>
      <c r="P1" s="51"/>
      <c r="Q1" s="33" t="s">
        <v>610</v>
      </c>
    </row>
    <row r="2" spans="1:17" x14ac:dyDescent="0.25">
      <c r="A2" s="23" t="s">
        <v>645</v>
      </c>
      <c r="B2" s="23" t="s">
        <v>604</v>
      </c>
      <c r="C2" s="23" t="s">
        <v>635</v>
      </c>
      <c r="D2" s="24" t="s">
        <v>212</v>
      </c>
      <c r="E2" s="23" t="s">
        <v>214</v>
      </c>
      <c r="F2" s="23" t="s">
        <v>215</v>
      </c>
      <c r="G2" s="23" t="s">
        <v>1</v>
      </c>
      <c r="H2" s="23" t="s">
        <v>213</v>
      </c>
      <c r="J2" s="23" t="s">
        <v>604</v>
      </c>
      <c r="K2" s="24" t="s">
        <v>603</v>
      </c>
      <c r="L2" s="24" t="s">
        <v>602</v>
      </c>
      <c r="N2" s="25" t="s">
        <v>605</v>
      </c>
      <c r="O2" s="26" t="s">
        <v>607</v>
      </c>
      <c r="P2" s="34" t="s">
        <v>606</v>
      </c>
      <c r="Q2" s="37" t="s">
        <v>611</v>
      </c>
    </row>
    <row r="3" spans="1:17" x14ac:dyDescent="0.25">
      <c r="A3" s="3" t="str">
        <f>TEXT($D3,"mmm")</f>
        <v>oct</v>
      </c>
      <c r="B3" s="9" t="s">
        <v>4</v>
      </c>
      <c r="C3" s="9">
        <v>2405</v>
      </c>
      <c r="D3" s="16">
        <v>46309</v>
      </c>
      <c r="E3" s="6">
        <v>0</v>
      </c>
      <c r="F3" s="6">
        <v>0</v>
      </c>
      <c r="G3" s="6" t="s">
        <v>611</v>
      </c>
      <c r="H3" s="6"/>
      <c r="J3" s="9" t="s">
        <v>2</v>
      </c>
      <c r="K3" s="14" t="str">
        <f>IFERROR(LOOKUP(2,1/($B$3:$B$1001=J3),$D$3:$D$1001),"")</f>
        <v/>
      </c>
      <c r="L3" s="3" t="str">
        <f ca="1">IF(OR(K3="",K3=0),"CRITICO(MAS 30 DIAS)",IF(TODAY()-K3&gt;=30,"CRITICO(MAS 30 DIAS)",IF(TODAY()-K3&gt;=15,"POR REALIZAR(ALERTA)","AL DIA (MENOS 10 DIAS)")))</f>
        <v>CRITICO(MAS 30 DIAS)</v>
      </c>
      <c r="N3" s="21">
        <f ca="1">+COUNTIF(L3:L189,N2)</f>
        <v>3</v>
      </c>
      <c r="O3" s="20">
        <f ca="1">+COUNTIF(L3:L189,O2)</f>
        <v>0</v>
      </c>
      <c r="P3" s="35">
        <f ca="1">+COUNTIF(L3:L189,P2)</f>
        <v>10</v>
      </c>
      <c r="Q3" s="37" t="s">
        <v>612</v>
      </c>
    </row>
    <row r="4" spans="1:17" x14ac:dyDescent="0.25">
      <c r="A4" s="3" t="str">
        <f>TEXT($D4,"mmm")</f>
        <v>oct</v>
      </c>
      <c r="B4" s="3" t="s">
        <v>3</v>
      </c>
      <c r="C4" s="3">
        <v>10662</v>
      </c>
      <c r="D4" s="16">
        <v>46310</v>
      </c>
      <c r="E4" s="6">
        <v>10</v>
      </c>
      <c r="F4" s="6">
        <v>0</v>
      </c>
      <c r="G4" s="6" t="s">
        <v>611</v>
      </c>
      <c r="H4" s="6"/>
      <c r="J4" s="3" t="s">
        <v>3</v>
      </c>
      <c r="K4" s="14">
        <f t="shared" ref="K4:K15" si="0">IFERROR(LOOKUP(2,1/($B$3:$B$1001=J4),$D$3:$D$1001),"")</f>
        <v>46310</v>
      </c>
      <c r="L4" s="3" t="str">
        <f t="shared" ref="L4:L15" ca="1" si="1">IF(OR(K4="",K4=0),"CRITICO(MAS 30 DIAS)",IF(TODAY()-K4&gt;=30,"CRITICO(MAS 30 DIAS)",IF(TODAY()-K4&gt;=15,"POR REALIZAR(ALERTA)","AL DIA (MENOS 10 DIAS)")))</f>
        <v>AL DIA (MENOS 10 DIAS)</v>
      </c>
      <c r="Q4" s="37" t="s">
        <v>647</v>
      </c>
    </row>
    <row r="5" spans="1:17" x14ac:dyDescent="0.25">
      <c r="A5" s="3" t="str">
        <f>TEXT($D5,"mmm")</f>
        <v>oct</v>
      </c>
      <c r="B5" s="3" t="s">
        <v>6</v>
      </c>
      <c r="C5" s="3">
        <v>208</v>
      </c>
      <c r="D5" s="16">
        <v>46311</v>
      </c>
      <c r="E5" s="6">
        <v>0</v>
      </c>
      <c r="F5" s="6">
        <v>0</v>
      </c>
      <c r="G5" s="6" t="s">
        <v>611</v>
      </c>
      <c r="H5" s="6"/>
      <c r="J5" s="3" t="s">
        <v>4</v>
      </c>
      <c r="K5" s="14">
        <f t="shared" si="0"/>
        <v>46309</v>
      </c>
      <c r="L5" s="3" t="str">
        <f t="shared" ca="1" si="1"/>
        <v>AL DIA (MENOS 10 DIAS)</v>
      </c>
      <c r="Q5" s="37" t="s">
        <v>648</v>
      </c>
    </row>
    <row r="6" spans="1:17" x14ac:dyDescent="0.25">
      <c r="A6" s="3" t="str">
        <f t="shared" ref="A6:A67" si="2">TEXT($D6,"mmm")</f>
        <v>ene</v>
      </c>
      <c r="B6" s="9"/>
      <c r="C6" s="3"/>
      <c r="D6" s="16"/>
      <c r="E6" s="6"/>
      <c r="F6" s="6"/>
      <c r="G6" s="6"/>
      <c r="H6" s="6"/>
      <c r="J6" s="3" t="s">
        <v>5</v>
      </c>
      <c r="K6" s="14" t="str">
        <f t="shared" si="0"/>
        <v/>
      </c>
      <c r="L6" s="3" t="str">
        <f t="shared" ca="1" si="1"/>
        <v>CRITICO(MAS 30 DIAS)</v>
      </c>
    </row>
    <row r="7" spans="1:17" x14ac:dyDescent="0.25">
      <c r="A7" s="3" t="str">
        <f t="shared" si="2"/>
        <v>ene</v>
      </c>
      <c r="B7" s="3"/>
      <c r="C7" s="3"/>
      <c r="D7" s="16"/>
      <c r="E7" s="6"/>
      <c r="F7" s="6"/>
      <c r="G7" s="6"/>
      <c r="H7" s="6"/>
      <c r="J7" s="3" t="s">
        <v>6</v>
      </c>
      <c r="K7" s="14">
        <f t="shared" si="0"/>
        <v>46311</v>
      </c>
      <c r="L7" s="3" t="str">
        <f t="shared" ca="1" si="1"/>
        <v>AL DIA (MENOS 10 DIAS)</v>
      </c>
    </row>
    <row r="8" spans="1:17" x14ac:dyDescent="0.25">
      <c r="A8" s="3" t="str">
        <f t="shared" si="2"/>
        <v>ene</v>
      </c>
      <c r="B8" s="3"/>
      <c r="C8" s="3"/>
      <c r="D8" s="16"/>
      <c r="E8" s="6"/>
      <c r="F8" s="6"/>
      <c r="G8" s="6"/>
      <c r="H8" s="6"/>
      <c r="J8" s="3" t="s">
        <v>7</v>
      </c>
      <c r="K8" s="14" t="str">
        <f t="shared" si="0"/>
        <v/>
      </c>
      <c r="L8" s="3" t="str">
        <f t="shared" ca="1" si="1"/>
        <v>CRITICO(MAS 30 DIAS)</v>
      </c>
    </row>
    <row r="9" spans="1:17" x14ac:dyDescent="0.25">
      <c r="A9" s="3" t="str">
        <f t="shared" si="2"/>
        <v>ene</v>
      </c>
      <c r="B9" s="3"/>
      <c r="C9" s="3"/>
      <c r="D9" s="16"/>
      <c r="E9" s="6"/>
      <c r="F9" s="6"/>
      <c r="G9" s="6"/>
      <c r="H9" s="6"/>
      <c r="J9" s="3" t="s">
        <v>8</v>
      </c>
      <c r="K9" s="14" t="str">
        <f t="shared" si="0"/>
        <v/>
      </c>
      <c r="L9" s="3" t="str">
        <f t="shared" ca="1" si="1"/>
        <v>CRITICO(MAS 30 DIAS)</v>
      </c>
    </row>
    <row r="10" spans="1:17" x14ac:dyDescent="0.25">
      <c r="A10" s="3" t="str">
        <f t="shared" si="2"/>
        <v>ene</v>
      </c>
      <c r="B10" s="3"/>
      <c r="C10" s="3"/>
      <c r="D10" s="16"/>
      <c r="E10" s="6"/>
      <c r="F10" s="6"/>
      <c r="G10" s="6"/>
      <c r="H10" s="6"/>
      <c r="J10" s="3" t="s">
        <v>9</v>
      </c>
      <c r="K10" s="14" t="str">
        <f t="shared" si="0"/>
        <v/>
      </c>
      <c r="L10" s="3" t="str">
        <f t="shared" ca="1" si="1"/>
        <v>CRITICO(MAS 30 DIAS)</v>
      </c>
    </row>
    <row r="11" spans="1:17" x14ac:dyDescent="0.25">
      <c r="A11" s="3" t="str">
        <f t="shared" si="2"/>
        <v>ene</v>
      </c>
      <c r="B11" s="3"/>
      <c r="C11" s="3"/>
      <c r="D11" s="16"/>
      <c r="E11" s="6"/>
      <c r="F11" s="6"/>
      <c r="G11" s="6"/>
      <c r="H11" s="6"/>
      <c r="J11" s="3" t="s">
        <v>10</v>
      </c>
      <c r="K11" s="14" t="str">
        <f t="shared" si="0"/>
        <v/>
      </c>
      <c r="L11" s="3" t="str">
        <f t="shared" ca="1" si="1"/>
        <v>CRITICO(MAS 30 DIAS)</v>
      </c>
    </row>
    <row r="12" spans="1:17" x14ac:dyDescent="0.25">
      <c r="A12" s="3" t="str">
        <f t="shared" si="2"/>
        <v>ene</v>
      </c>
      <c r="B12" s="3"/>
      <c r="C12" s="3"/>
      <c r="D12" s="16"/>
      <c r="E12" s="6"/>
      <c r="F12" s="6"/>
      <c r="G12" s="6"/>
      <c r="H12" s="6"/>
      <c r="J12" s="3" t="s">
        <v>11</v>
      </c>
      <c r="K12" s="14" t="str">
        <f t="shared" si="0"/>
        <v/>
      </c>
      <c r="L12" s="3" t="str">
        <f t="shared" ca="1" si="1"/>
        <v>CRITICO(MAS 30 DIAS)</v>
      </c>
    </row>
    <row r="13" spans="1:17" x14ac:dyDescent="0.25">
      <c r="A13" s="3" t="str">
        <f t="shared" si="2"/>
        <v>ene</v>
      </c>
      <c r="B13" s="3"/>
      <c r="C13" s="3"/>
      <c r="D13" s="16"/>
      <c r="E13" s="6"/>
      <c r="F13" s="6"/>
      <c r="G13" s="6"/>
      <c r="H13" s="6"/>
      <c r="J13" s="3" t="s">
        <v>12</v>
      </c>
      <c r="K13" s="14" t="str">
        <f t="shared" si="0"/>
        <v/>
      </c>
      <c r="L13" s="3" t="str">
        <f t="shared" ca="1" si="1"/>
        <v>CRITICO(MAS 30 DIAS)</v>
      </c>
    </row>
    <row r="14" spans="1:17" x14ac:dyDescent="0.25">
      <c r="A14" s="3" t="str">
        <f t="shared" si="2"/>
        <v>ene</v>
      </c>
      <c r="B14" s="3"/>
      <c r="C14" s="3"/>
      <c r="D14" s="16"/>
      <c r="E14" s="6"/>
      <c r="F14" s="6"/>
      <c r="G14" s="6"/>
      <c r="H14" s="6"/>
      <c r="J14" s="3" t="s">
        <v>13</v>
      </c>
      <c r="K14" s="14" t="str">
        <f t="shared" si="0"/>
        <v/>
      </c>
      <c r="L14" s="3" t="str">
        <f t="shared" ca="1" si="1"/>
        <v>CRITICO(MAS 30 DIAS)</v>
      </c>
    </row>
    <row r="15" spans="1:17" x14ac:dyDescent="0.25">
      <c r="A15" s="3" t="str">
        <f t="shared" si="2"/>
        <v>ene</v>
      </c>
      <c r="B15" s="3"/>
      <c r="C15" s="3"/>
      <c r="D15" s="16"/>
      <c r="E15" s="6"/>
      <c r="F15" s="6"/>
      <c r="G15" s="6"/>
      <c r="H15" s="6"/>
      <c r="J15" s="3" t="s">
        <v>14</v>
      </c>
      <c r="K15" s="14" t="str">
        <f t="shared" si="0"/>
        <v/>
      </c>
      <c r="L15" s="3" t="str">
        <f t="shared" ca="1" si="1"/>
        <v>CRITICO(MAS 30 DIAS)</v>
      </c>
    </row>
    <row r="16" spans="1:17" x14ac:dyDescent="0.25">
      <c r="A16" s="3" t="str">
        <f t="shared" si="2"/>
        <v>ene</v>
      </c>
      <c r="B16" s="3"/>
      <c r="C16" s="3"/>
      <c r="D16" s="16"/>
      <c r="E16" s="6"/>
      <c r="F16" s="6"/>
      <c r="G16" s="6"/>
      <c r="H16" s="6"/>
    </row>
    <row r="17" spans="1:14" x14ac:dyDescent="0.25">
      <c r="A17" s="3" t="str">
        <f t="shared" si="2"/>
        <v>ene</v>
      </c>
      <c r="B17" s="3"/>
      <c r="C17" s="3"/>
      <c r="D17" s="16"/>
      <c r="E17" s="6"/>
      <c r="F17" s="6"/>
      <c r="G17" s="6"/>
      <c r="H17" s="6"/>
    </row>
    <row r="18" spans="1:14" x14ac:dyDescent="0.25">
      <c r="A18" s="3" t="str">
        <f t="shared" si="2"/>
        <v>ene</v>
      </c>
      <c r="B18" s="3"/>
      <c r="C18" s="3"/>
      <c r="D18" s="16"/>
      <c r="E18" s="6"/>
      <c r="F18" s="6"/>
      <c r="G18" s="6"/>
      <c r="H18" s="6"/>
    </row>
    <row r="19" spans="1:14" x14ac:dyDescent="0.25">
      <c r="A19" s="3" t="str">
        <f t="shared" si="2"/>
        <v>ene</v>
      </c>
      <c r="B19" s="3"/>
      <c r="C19" s="3"/>
      <c r="D19" s="16"/>
      <c r="E19" s="6"/>
      <c r="F19" s="6"/>
      <c r="G19" s="6"/>
      <c r="H19" s="6"/>
    </row>
    <row r="20" spans="1:14" x14ac:dyDescent="0.25">
      <c r="A20" s="3" t="str">
        <f t="shared" si="2"/>
        <v>ene</v>
      </c>
      <c r="B20" s="4"/>
      <c r="C20" s="4"/>
      <c r="D20" s="16"/>
      <c r="E20" s="6"/>
      <c r="F20" s="6"/>
      <c r="G20" s="6"/>
      <c r="H20" s="6"/>
    </row>
    <row r="21" spans="1:14" x14ac:dyDescent="0.25">
      <c r="A21" s="3" t="str">
        <f t="shared" si="2"/>
        <v>ene</v>
      </c>
      <c r="B21" s="4"/>
      <c r="C21" s="4"/>
      <c r="D21" s="16"/>
      <c r="E21" s="6"/>
      <c r="F21" s="6"/>
      <c r="G21" s="6"/>
      <c r="H21" s="6"/>
    </row>
    <row r="22" spans="1:14" x14ac:dyDescent="0.25">
      <c r="A22" s="3" t="str">
        <f t="shared" si="2"/>
        <v>ene</v>
      </c>
      <c r="B22" s="4"/>
      <c r="C22" s="4"/>
      <c r="D22" s="16"/>
      <c r="E22" s="6"/>
      <c r="F22" s="6"/>
      <c r="G22" s="6"/>
      <c r="H22" s="6"/>
      <c r="J22" s="15"/>
      <c r="L22" s="15"/>
    </row>
    <row r="23" spans="1:14" x14ac:dyDescent="0.25">
      <c r="A23" s="3" t="str">
        <f t="shared" si="2"/>
        <v>ene</v>
      </c>
      <c r="B23" s="4"/>
      <c r="C23" s="4"/>
      <c r="D23" s="16"/>
      <c r="E23" s="6"/>
      <c r="F23" s="6"/>
      <c r="G23" s="6"/>
      <c r="H23" s="6"/>
      <c r="J23" s="15"/>
      <c r="L23" s="15"/>
    </row>
    <row r="24" spans="1:14" x14ac:dyDescent="0.25">
      <c r="A24" s="3" t="str">
        <f t="shared" si="2"/>
        <v>ene</v>
      </c>
      <c r="B24" s="4"/>
      <c r="C24" s="4"/>
      <c r="D24" s="16"/>
      <c r="E24" s="6"/>
      <c r="F24" s="6"/>
      <c r="G24" s="6"/>
      <c r="H24" s="6"/>
      <c r="J24" s="15"/>
      <c r="L24" s="15"/>
    </row>
    <row r="25" spans="1:14" x14ac:dyDescent="0.25">
      <c r="A25" s="3" t="str">
        <f t="shared" si="2"/>
        <v>ene</v>
      </c>
      <c r="B25" s="4"/>
      <c r="C25" s="4"/>
      <c r="D25" s="16"/>
      <c r="E25" s="6"/>
      <c r="F25" s="6"/>
      <c r="G25" s="6"/>
      <c r="H25" s="6"/>
      <c r="J25" s="42" t="s">
        <v>645</v>
      </c>
      <c r="K25" t="s">
        <v>646</v>
      </c>
      <c r="L25" s="15"/>
    </row>
    <row r="26" spans="1:14" x14ac:dyDescent="0.25">
      <c r="A26" s="3" t="str">
        <f t="shared" si="2"/>
        <v>ene</v>
      </c>
      <c r="B26" s="4"/>
      <c r="C26" s="4"/>
      <c r="D26" s="16"/>
      <c r="E26" s="6"/>
      <c r="F26" s="6"/>
      <c r="G26" s="6"/>
      <c r="H26" s="6"/>
      <c r="J26" s="42" t="s">
        <v>604</v>
      </c>
      <c r="K26" t="s">
        <v>636</v>
      </c>
      <c r="L26" s="4"/>
    </row>
    <row r="27" spans="1:14" x14ac:dyDescent="0.25">
      <c r="A27" s="3" t="str">
        <f t="shared" si="2"/>
        <v>ene</v>
      </c>
      <c r="B27" s="4"/>
      <c r="C27" s="4"/>
      <c r="D27" s="16"/>
      <c r="E27" s="6"/>
      <c r="F27" s="6"/>
      <c r="G27" s="6"/>
      <c r="H27" s="6"/>
    </row>
    <row r="28" spans="1:14" x14ac:dyDescent="0.25">
      <c r="A28" s="3" t="str">
        <f t="shared" si="2"/>
        <v>ene</v>
      </c>
      <c r="B28" s="4"/>
      <c r="C28" s="4"/>
      <c r="D28" s="16"/>
      <c r="E28" s="6"/>
      <c r="F28" s="6"/>
      <c r="G28" s="6"/>
      <c r="H28" s="6"/>
      <c r="K28" s="42" t="s">
        <v>653</v>
      </c>
    </row>
    <row r="29" spans="1:14" x14ac:dyDescent="0.25">
      <c r="A29" s="3" t="str">
        <f t="shared" si="2"/>
        <v>ene</v>
      </c>
      <c r="B29" s="4"/>
      <c r="C29" s="4"/>
      <c r="D29" s="16"/>
      <c r="E29" s="6"/>
      <c r="F29" s="6"/>
      <c r="G29" s="6"/>
      <c r="H29" s="6"/>
      <c r="J29" s="42" t="s">
        <v>637</v>
      </c>
      <c r="K29" t="s">
        <v>641</v>
      </c>
      <c r="L29" t="s">
        <v>644</v>
      </c>
      <c r="M29" t="s">
        <v>649</v>
      </c>
      <c r="N29" t="s">
        <v>650</v>
      </c>
    </row>
    <row r="30" spans="1:14" x14ac:dyDescent="0.25">
      <c r="A30" s="3" t="str">
        <f t="shared" si="2"/>
        <v>ene</v>
      </c>
      <c r="B30" s="4"/>
      <c r="C30" s="4"/>
      <c r="D30" s="16"/>
      <c r="E30" s="6"/>
      <c r="F30" s="6"/>
      <c r="G30" s="6"/>
      <c r="H30" s="6"/>
      <c r="J30" s="43" t="s">
        <v>611</v>
      </c>
      <c r="K30">
        <v>13275</v>
      </c>
      <c r="L30">
        <v>3</v>
      </c>
      <c r="M30">
        <v>10</v>
      </c>
      <c r="N30">
        <v>0</v>
      </c>
    </row>
    <row r="31" spans="1:14" x14ac:dyDescent="0.25">
      <c r="A31" s="3" t="str">
        <f t="shared" si="2"/>
        <v>ene</v>
      </c>
      <c r="B31" s="4"/>
      <c r="C31" s="4"/>
      <c r="D31" s="16"/>
      <c r="E31" s="6"/>
      <c r="F31" s="6"/>
      <c r="G31" s="6"/>
      <c r="H31" s="6"/>
      <c r="J31" s="43" t="s">
        <v>639</v>
      </c>
      <c r="K31">
        <v>13275</v>
      </c>
      <c r="L31">
        <v>3</v>
      </c>
      <c r="M31">
        <v>10</v>
      </c>
      <c r="N31">
        <v>0</v>
      </c>
    </row>
    <row r="32" spans="1:14" x14ac:dyDescent="0.25">
      <c r="A32" s="3" t="str">
        <f t="shared" si="2"/>
        <v>ene</v>
      </c>
      <c r="B32" s="4"/>
      <c r="C32" s="4"/>
      <c r="D32" s="16"/>
      <c r="E32" s="6"/>
      <c r="F32" s="6"/>
      <c r="G32" s="6"/>
      <c r="H32" s="6"/>
      <c r="K32"/>
    </row>
    <row r="33" spans="1:11" x14ac:dyDescent="0.25">
      <c r="A33" s="3" t="str">
        <f t="shared" si="2"/>
        <v>ene</v>
      </c>
      <c r="B33" s="4"/>
      <c r="C33" s="4"/>
      <c r="D33" s="16"/>
      <c r="E33" s="6"/>
      <c r="F33" s="6"/>
      <c r="G33" s="6"/>
      <c r="H33" s="6"/>
      <c r="K33"/>
    </row>
    <row r="34" spans="1:11" x14ac:dyDescent="0.25">
      <c r="A34" s="3" t="str">
        <f t="shared" si="2"/>
        <v>ene</v>
      </c>
      <c r="B34" s="4"/>
      <c r="C34" s="4"/>
      <c r="D34" s="16"/>
      <c r="E34" s="6"/>
      <c r="F34" s="6"/>
      <c r="G34" s="6"/>
      <c r="H34" s="6"/>
      <c r="K34"/>
    </row>
    <row r="35" spans="1:11" x14ac:dyDescent="0.25">
      <c r="A35" s="3" t="str">
        <f t="shared" si="2"/>
        <v>ene</v>
      </c>
      <c r="B35" s="4"/>
      <c r="C35" s="4"/>
      <c r="D35" s="16"/>
      <c r="E35" s="6"/>
      <c r="F35" s="6"/>
      <c r="G35" s="6"/>
      <c r="H35" s="6"/>
      <c r="K35"/>
    </row>
    <row r="36" spans="1:11" x14ac:dyDescent="0.25">
      <c r="A36" s="3" t="str">
        <f t="shared" si="2"/>
        <v>ene</v>
      </c>
      <c r="B36" s="4"/>
      <c r="C36" s="4"/>
      <c r="D36" s="16"/>
      <c r="E36" s="6"/>
      <c r="F36" s="6"/>
      <c r="G36" s="6"/>
      <c r="H36" s="6"/>
      <c r="K36"/>
    </row>
    <row r="37" spans="1:11" x14ac:dyDescent="0.25">
      <c r="A37" s="3" t="str">
        <f t="shared" si="2"/>
        <v>ene</v>
      </c>
      <c r="G37" s="6"/>
      <c r="K37"/>
    </row>
    <row r="38" spans="1:11" x14ac:dyDescent="0.25">
      <c r="A38" s="3" t="str">
        <f t="shared" si="2"/>
        <v>ene</v>
      </c>
      <c r="G38" s="6"/>
      <c r="K38"/>
    </row>
    <row r="39" spans="1:11" x14ac:dyDescent="0.25">
      <c r="A39" s="3" t="str">
        <f t="shared" si="2"/>
        <v>ene</v>
      </c>
      <c r="G39" s="6"/>
      <c r="K39"/>
    </row>
    <row r="40" spans="1:11" x14ac:dyDescent="0.25">
      <c r="A40" s="3" t="str">
        <f t="shared" si="2"/>
        <v>ene</v>
      </c>
      <c r="G40" s="6"/>
      <c r="K40"/>
    </row>
    <row r="41" spans="1:11" x14ac:dyDescent="0.25">
      <c r="A41" s="3" t="str">
        <f t="shared" si="2"/>
        <v>ene</v>
      </c>
      <c r="G41" s="6"/>
      <c r="K41"/>
    </row>
    <row r="42" spans="1:11" x14ac:dyDescent="0.25">
      <c r="A42" s="3" t="str">
        <f t="shared" si="2"/>
        <v>ene</v>
      </c>
      <c r="G42" s="6"/>
      <c r="K42"/>
    </row>
    <row r="43" spans="1:11" x14ac:dyDescent="0.25">
      <c r="A43" s="3" t="str">
        <f t="shared" si="2"/>
        <v>ene</v>
      </c>
      <c r="G43" s="6"/>
      <c r="K43"/>
    </row>
    <row r="44" spans="1:11" x14ac:dyDescent="0.25">
      <c r="A44" s="3" t="str">
        <f t="shared" si="2"/>
        <v>ene</v>
      </c>
      <c r="G44" s="6"/>
      <c r="K44"/>
    </row>
    <row r="45" spans="1:11" x14ac:dyDescent="0.25">
      <c r="A45" s="3" t="str">
        <f t="shared" si="2"/>
        <v>ene</v>
      </c>
      <c r="G45" s="6"/>
      <c r="K45"/>
    </row>
    <row r="46" spans="1:11" x14ac:dyDescent="0.25">
      <c r="A46" s="3" t="str">
        <f t="shared" si="2"/>
        <v>ene</v>
      </c>
      <c r="G46" s="6"/>
    </row>
    <row r="47" spans="1:11" x14ac:dyDescent="0.25">
      <c r="A47" s="3" t="str">
        <f t="shared" si="2"/>
        <v>ene</v>
      </c>
      <c r="G47" s="6"/>
    </row>
    <row r="48" spans="1:11" x14ac:dyDescent="0.25">
      <c r="A48" s="3" t="str">
        <f t="shared" si="2"/>
        <v>ene</v>
      </c>
      <c r="G48" s="6"/>
    </row>
    <row r="49" spans="1:7" x14ac:dyDescent="0.25">
      <c r="A49" s="3" t="str">
        <f t="shared" si="2"/>
        <v>ene</v>
      </c>
      <c r="G49" s="6"/>
    </row>
    <row r="50" spans="1:7" x14ac:dyDescent="0.25">
      <c r="A50" s="3" t="str">
        <f t="shared" si="2"/>
        <v>ene</v>
      </c>
      <c r="G50" s="6"/>
    </row>
    <row r="51" spans="1:7" x14ac:dyDescent="0.25">
      <c r="A51" s="3" t="str">
        <f t="shared" si="2"/>
        <v>ene</v>
      </c>
      <c r="G51" s="6"/>
    </row>
    <row r="52" spans="1:7" x14ac:dyDescent="0.25">
      <c r="A52" s="3" t="str">
        <f t="shared" si="2"/>
        <v>ene</v>
      </c>
      <c r="G52" s="6"/>
    </row>
    <row r="53" spans="1:7" x14ac:dyDescent="0.25">
      <c r="A53" s="3" t="str">
        <f t="shared" si="2"/>
        <v>ene</v>
      </c>
      <c r="G53" s="6"/>
    </row>
    <row r="54" spans="1:7" x14ac:dyDescent="0.25">
      <c r="A54" s="3" t="str">
        <f t="shared" si="2"/>
        <v>ene</v>
      </c>
      <c r="G54" s="6"/>
    </row>
    <row r="55" spans="1:7" x14ac:dyDescent="0.25">
      <c r="A55" s="3" t="str">
        <f t="shared" si="2"/>
        <v>ene</v>
      </c>
      <c r="G55" s="6"/>
    </row>
    <row r="56" spans="1:7" x14ac:dyDescent="0.25">
      <c r="A56" s="3" t="str">
        <f t="shared" si="2"/>
        <v>ene</v>
      </c>
      <c r="G56" s="6"/>
    </row>
    <row r="57" spans="1:7" x14ac:dyDescent="0.25">
      <c r="A57" s="3" t="str">
        <f t="shared" si="2"/>
        <v>ene</v>
      </c>
      <c r="G57" s="6"/>
    </row>
    <row r="58" spans="1:7" x14ac:dyDescent="0.25">
      <c r="A58" s="3" t="str">
        <f t="shared" si="2"/>
        <v>ene</v>
      </c>
      <c r="G58" s="6"/>
    </row>
    <row r="59" spans="1:7" x14ac:dyDescent="0.25">
      <c r="A59" s="3" t="str">
        <f t="shared" si="2"/>
        <v>ene</v>
      </c>
      <c r="G59" s="6"/>
    </row>
    <row r="60" spans="1:7" x14ac:dyDescent="0.25">
      <c r="A60" s="3" t="str">
        <f t="shared" si="2"/>
        <v>ene</v>
      </c>
      <c r="G60" s="6"/>
    </row>
    <row r="61" spans="1:7" x14ac:dyDescent="0.25">
      <c r="A61" s="3" t="str">
        <f t="shared" si="2"/>
        <v>ene</v>
      </c>
      <c r="G61" s="6"/>
    </row>
    <row r="62" spans="1:7" x14ac:dyDescent="0.25">
      <c r="A62" s="3" t="str">
        <f t="shared" si="2"/>
        <v>ene</v>
      </c>
      <c r="G62" s="6"/>
    </row>
    <row r="63" spans="1:7" x14ac:dyDescent="0.25">
      <c r="A63" s="3" t="str">
        <f t="shared" si="2"/>
        <v>ene</v>
      </c>
      <c r="G63" s="6"/>
    </row>
    <row r="64" spans="1:7" x14ac:dyDescent="0.25">
      <c r="A64" s="3" t="str">
        <f t="shared" si="2"/>
        <v>ene</v>
      </c>
      <c r="G64" s="6"/>
    </row>
    <row r="65" spans="1:7" x14ac:dyDescent="0.25">
      <c r="A65" s="3" t="str">
        <f t="shared" si="2"/>
        <v>ene</v>
      </c>
      <c r="G65" s="6"/>
    </row>
    <row r="66" spans="1:7" x14ac:dyDescent="0.25">
      <c r="A66" s="3" t="str">
        <f t="shared" si="2"/>
        <v>ene</v>
      </c>
      <c r="G66" s="6"/>
    </row>
    <row r="67" spans="1:7" x14ac:dyDescent="0.25">
      <c r="A67" s="3" t="str">
        <f t="shared" si="2"/>
        <v>ene</v>
      </c>
      <c r="G67" s="6"/>
    </row>
    <row r="68" spans="1:7" x14ac:dyDescent="0.25">
      <c r="A68" s="3" t="str">
        <f t="shared" ref="A68:A131" si="3">TEXT($D68,"mmm")</f>
        <v>ene</v>
      </c>
      <c r="G68" s="6"/>
    </row>
    <row r="69" spans="1:7" x14ac:dyDescent="0.25">
      <c r="A69" s="3" t="str">
        <f t="shared" si="3"/>
        <v>ene</v>
      </c>
      <c r="G69" s="6"/>
    </row>
    <row r="70" spans="1:7" x14ac:dyDescent="0.25">
      <c r="A70" s="3" t="str">
        <f t="shared" si="3"/>
        <v>ene</v>
      </c>
      <c r="G70" s="6"/>
    </row>
    <row r="71" spans="1:7" x14ac:dyDescent="0.25">
      <c r="A71" s="3" t="str">
        <f t="shared" si="3"/>
        <v>ene</v>
      </c>
      <c r="G71" s="6"/>
    </row>
    <row r="72" spans="1:7" x14ac:dyDescent="0.25">
      <c r="A72" s="3" t="str">
        <f t="shared" si="3"/>
        <v>ene</v>
      </c>
      <c r="G72" s="6"/>
    </row>
    <row r="73" spans="1:7" x14ac:dyDescent="0.25">
      <c r="A73" s="3" t="str">
        <f t="shared" si="3"/>
        <v>ene</v>
      </c>
      <c r="G73" s="6"/>
    </row>
    <row r="74" spans="1:7" x14ac:dyDescent="0.25">
      <c r="A74" s="3" t="str">
        <f t="shared" si="3"/>
        <v>ene</v>
      </c>
      <c r="G74" s="6"/>
    </row>
    <row r="75" spans="1:7" x14ac:dyDescent="0.25">
      <c r="A75" s="3" t="str">
        <f t="shared" si="3"/>
        <v>ene</v>
      </c>
      <c r="G75" s="6"/>
    </row>
    <row r="76" spans="1:7" x14ac:dyDescent="0.25">
      <c r="A76" s="3" t="str">
        <f t="shared" si="3"/>
        <v>ene</v>
      </c>
      <c r="G76" s="6"/>
    </row>
    <row r="77" spans="1:7" x14ac:dyDescent="0.25">
      <c r="A77" s="3" t="str">
        <f t="shared" si="3"/>
        <v>ene</v>
      </c>
      <c r="G77" s="6"/>
    </row>
    <row r="78" spans="1:7" x14ac:dyDescent="0.25">
      <c r="A78" s="3" t="str">
        <f t="shared" si="3"/>
        <v>ene</v>
      </c>
      <c r="G78" s="6"/>
    </row>
    <row r="79" spans="1:7" x14ac:dyDescent="0.25">
      <c r="A79" s="3" t="str">
        <f t="shared" si="3"/>
        <v>ene</v>
      </c>
      <c r="G79" s="6"/>
    </row>
    <row r="80" spans="1:7" x14ac:dyDescent="0.25">
      <c r="A80" s="3" t="str">
        <f t="shared" si="3"/>
        <v>ene</v>
      </c>
      <c r="G80" s="6"/>
    </row>
    <row r="81" spans="1:7" x14ac:dyDescent="0.25">
      <c r="A81" s="3" t="str">
        <f t="shared" si="3"/>
        <v>ene</v>
      </c>
      <c r="G81" s="6"/>
    </row>
    <row r="82" spans="1:7" x14ac:dyDescent="0.25">
      <c r="A82" s="3" t="str">
        <f t="shared" si="3"/>
        <v>ene</v>
      </c>
      <c r="G82" s="6"/>
    </row>
    <row r="83" spans="1:7" x14ac:dyDescent="0.25">
      <c r="A83" s="3" t="str">
        <f t="shared" si="3"/>
        <v>ene</v>
      </c>
      <c r="G83" s="6"/>
    </row>
    <row r="84" spans="1:7" x14ac:dyDescent="0.25">
      <c r="A84" s="3" t="str">
        <f t="shared" si="3"/>
        <v>ene</v>
      </c>
      <c r="G84" s="6"/>
    </row>
    <row r="85" spans="1:7" x14ac:dyDescent="0.25">
      <c r="A85" s="3" t="str">
        <f t="shared" si="3"/>
        <v>ene</v>
      </c>
      <c r="G85" s="6"/>
    </row>
    <row r="86" spans="1:7" x14ac:dyDescent="0.25">
      <c r="A86" s="3" t="str">
        <f t="shared" si="3"/>
        <v>ene</v>
      </c>
      <c r="G86" s="6"/>
    </row>
    <row r="87" spans="1:7" x14ac:dyDescent="0.25">
      <c r="A87" s="3" t="str">
        <f t="shared" si="3"/>
        <v>ene</v>
      </c>
      <c r="G87" s="6"/>
    </row>
    <row r="88" spans="1:7" x14ac:dyDescent="0.25">
      <c r="A88" s="3" t="str">
        <f t="shared" si="3"/>
        <v>ene</v>
      </c>
      <c r="G88" s="6"/>
    </row>
    <row r="89" spans="1:7" x14ac:dyDescent="0.25">
      <c r="A89" s="3" t="str">
        <f t="shared" si="3"/>
        <v>ene</v>
      </c>
      <c r="G89" s="6"/>
    </row>
    <row r="90" spans="1:7" x14ac:dyDescent="0.25">
      <c r="A90" s="3" t="str">
        <f t="shared" si="3"/>
        <v>ene</v>
      </c>
      <c r="G90" s="6"/>
    </row>
    <row r="91" spans="1:7" x14ac:dyDescent="0.25">
      <c r="A91" s="3" t="str">
        <f t="shared" si="3"/>
        <v>ene</v>
      </c>
      <c r="G91" s="6"/>
    </row>
    <row r="92" spans="1:7" x14ac:dyDescent="0.25">
      <c r="A92" s="3" t="str">
        <f t="shared" si="3"/>
        <v>ene</v>
      </c>
      <c r="G92" s="6"/>
    </row>
    <row r="93" spans="1:7" x14ac:dyDescent="0.25">
      <c r="A93" s="3" t="str">
        <f t="shared" si="3"/>
        <v>ene</v>
      </c>
      <c r="G93" s="6"/>
    </row>
    <row r="94" spans="1:7" x14ac:dyDescent="0.25">
      <c r="A94" s="3" t="str">
        <f t="shared" si="3"/>
        <v>ene</v>
      </c>
      <c r="G94" s="6"/>
    </row>
    <row r="95" spans="1:7" x14ac:dyDescent="0.25">
      <c r="A95" s="3" t="str">
        <f t="shared" si="3"/>
        <v>ene</v>
      </c>
      <c r="G95" s="6"/>
    </row>
    <row r="96" spans="1:7" x14ac:dyDescent="0.25">
      <c r="A96" s="3" t="str">
        <f t="shared" si="3"/>
        <v>ene</v>
      </c>
      <c r="G96" s="6"/>
    </row>
    <row r="97" spans="1:7" x14ac:dyDescent="0.25">
      <c r="A97" s="3" t="str">
        <f t="shared" si="3"/>
        <v>ene</v>
      </c>
      <c r="G97" s="6"/>
    </row>
    <row r="98" spans="1:7" x14ac:dyDescent="0.25">
      <c r="A98" s="3" t="str">
        <f t="shared" si="3"/>
        <v>ene</v>
      </c>
      <c r="G98" s="6"/>
    </row>
    <row r="99" spans="1:7" x14ac:dyDescent="0.25">
      <c r="A99" s="3" t="str">
        <f t="shared" si="3"/>
        <v>ene</v>
      </c>
      <c r="G99" s="6"/>
    </row>
    <row r="100" spans="1:7" x14ac:dyDescent="0.25">
      <c r="A100" s="3" t="str">
        <f t="shared" si="3"/>
        <v>ene</v>
      </c>
      <c r="G100" s="6"/>
    </row>
    <row r="101" spans="1:7" x14ac:dyDescent="0.25">
      <c r="A101" s="3" t="str">
        <f t="shared" si="3"/>
        <v>ene</v>
      </c>
      <c r="G101" s="6"/>
    </row>
    <row r="102" spans="1:7" x14ac:dyDescent="0.25">
      <c r="A102" s="3" t="str">
        <f t="shared" si="3"/>
        <v>ene</v>
      </c>
      <c r="G102" s="6"/>
    </row>
    <row r="103" spans="1:7" x14ac:dyDescent="0.25">
      <c r="A103" s="3" t="str">
        <f t="shared" si="3"/>
        <v>ene</v>
      </c>
      <c r="G103" s="6"/>
    </row>
    <row r="104" spans="1:7" x14ac:dyDescent="0.25">
      <c r="A104" s="3" t="str">
        <f t="shared" si="3"/>
        <v>ene</v>
      </c>
      <c r="G104" s="6"/>
    </row>
    <row r="105" spans="1:7" x14ac:dyDescent="0.25">
      <c r="A105" s="3" t="str">
        <f t="shared" si="3"/>
        <v>ene</v>
      </c>
      <c r="G105" s="6"/>
    </row>
    <row r="106" spans="1:7" x14ac:dyDescent="0.25">
      <c r="A106" s="3" t="str">
        <f t="shared" si="3"/>
        <v>ene</v>
      </c>
      <c r="G106" s="6"/>
    </row>
    <row r="107" spans="1:7" x14ac:dyDescent="0.25">
      <c r="A107" s="3" t="str">
        <f t="shared" si="3"/>
        <v>ene</v>
      </c>
      <c r="G107" s="6"/>
    </row>
    <row r="108" spans="1:7" x14ac:dyDescent="0.25">
      <c r="A108" s="3" t="str">
        <f t="shared" si="3"/>
        <v>ene</v>
      </c>
      <c r="G108" s="6"/>
    </row>
    <row r="109" spans="1:7" x14ac:dyDescent="0.25">
      <c r="A109" s="3" t="str">
        <f t="shared" si="3"/>
        <v>ene</v>
      </c>
      <c r="G109" s="6"/>
    </row>
    <row r="110" spans="1:7" x14ac:dyDescent="0.25">
      <c r="A110" s="3" t="str">
        <f t="shared" si="3"/>
        <v>ene</v>
      </c>
      <c r="G110" s="6"/>
    </row>
    <row r="111" spans="1:7" x14ac:dyDescent="0.25">
      <c r="A111" s="3" t="str">
        <f t="shared" si="3"/>
        <v>ene</v>
      </c>
      <c r="G111" s="6"/>
    </row>
    <row r="112" spans="1:7" x14ac:dyDescent="0.25">
      <c r="A112" s="3" t="str">
        <f t="shared" si="3"/>
        <v>ene</v>
      </c>
      <c r="G112" s="6"/>
    </row>
    <row r="113" spans="1:7" x14ac:dyDescent="0.25">
      <c r="A113" s="3" t="str">
        <f t="shared" si="3"/>
        <v>ene</v>
      </c>
      <c r="G113" s="6"/>
    </row>
    <row r="114" spans="1:7" x14ac:dyDescent="0.25">
      <c r="A114" s="3" t="str">
        <f t="shared" si="3"/>
        <v>ene</v>
      </c>
      <c r="G114" s="6"/>
    </row>
    <row r="115" spans="1:7" x14ac:dyDescent="0.25">
      <c r="A115" s="3" t="str">
        <f t="shared" si="3"/>
        <v>ene</v>
      </c>
      <c r="G115" s="6"/>
    </row>
    <row r="116" spans="1:7" x14ac:dyDescent="0.25">
      <c r="A116" s="3" t="str">
        <f t="shared" si="3"/>
        <v>ene</v>
      </c>
      <c r="G116" s="6"/>
    </row>
    <row r="117" spans="1:7" x14ac:dyDescent="0.25">
      <c r="A117" s="3" t="str">
        <f t="shared" si="3"/>
        <v>ene</v>
      </c>
      <c r="G117" s="6"/>
    </row>
    <row r="118" spans="1:7" x14ac:dyDescent="0.25">
      <c r="A118" s="3" t="str">
        <f t="shared" si="3"/>
        <v>ene</v>
      </c>
      <c r="G118" s="6"/>
    </row>
    <row r="119" spans="1:7" x14ac:dyDescent="0.25">
      <c r="A119" s="3" t="str">
        <f t="shared" si="3"/>
        <v>ene</v>
      </c>
      <c r="G119" s="6"/>
    </row>
    <row r="120" spans="1:7" x14ac:dyDescent="0.25">
      <c r="A120" s="3" t="str">
        <f t="shared" si="3"/>
        <v>ene</v>
      </c>
      <c r="G120" s="6"/>
    </row>
    <row r="121" spans="1:7" x14ac:dyDescent="0.25">
      <c r="A121" s="3" t="str">
        <f t="shared" si="3"/>
        <v>ene</v>
      </c>
      <c r="G121" s="6"/>
    </row>
    <row r="122" spans="1:7" x14ac:dyDescent="0.25">
      <c r="A122" s="3" t="str">
        <f t="shared" si="3"/>
        <v>ene</v>
      </c>
      <c r="G122" s="6"/>
    </row>
    <row r="123" spans="1:7" x14ac:dyDescent="0.25">
      <c r="A123" s="3" t="str">
        <f t="shared" si="3"/>
        <v>ene</v>
      </c>
      <c r="G123" s="6"/>
    </row>
    <row r="124" spans="1:7" x14ac:dyDescent="0.25">
      <c r="A124" s="3" t="str">
        <f t="shared" si="3"/>
        <v>ene</v>
      </c>
      <c r="G124" s="6"/>
    </row>
    <row r="125" spans="1:7" x14ac:dyDescent="0.25">
      <c r="A125" s="3" t="str">
        <f t="shared" si="3"/>
        <v>ene</v>
      </c>
      <c r="G125" s="6"/>
    </row>
    <row r="126" spans="1:7" x14ac:dyDescent="0.25">
      <c r="A126" s="3" t="str">
        <f t="shared" si="3"/>
        <v>ene</v>
      </c>
      <c r="G126" s="6"/>
    </row>
    <row r="127" spans="1:7" x14ac:dyDescent="0.25">
      <c r="A127" s="3" t="str">
        <f t="shared" si="3"/>
        <v>ene</v>
      </c>
      <c r="G127" s="6"/>
    </row>
    <row r="128" spans="1:7" x14ac:dyDescent="0.25">
      <c r="A128" s="3" t="str">
        <f t="shared" si="3"/>
        <v>ene</v>
      </c>
      <c r="G128" s="6"/>
    </row>
    <row r="129" spans="1:7" x14ac:dyDescent="0.25">
      <c r="A129" s="3" t="str">
        <f t="shared" si="3"/>
        <v>ene</v>
      </c>
      <c r="G129" s="6"/>
    </row>
    <row r="130" spans="1:7" x14ac:dyDescent="0.25">
      <c r="A130" s="3" t="str">
        <f t="shared" si="3"/>
        <v>ene</v>
      </c>
      <c r="G130" s="6"/>
    </row>
    <row r="131" spans="1:7" x14ac:dyDescent="0.25">
      <c r="A131" s="3" t="str">
        <f t="shared" si="3"/>
        <v>ene</v>
      </c>
      <c r="G131" s="6"/>
    </row>
    <row r="132" spans="1:7" x14ac:dyDescent="0.25">
      <c r="A132" s="3" t="str">
        <f t="shared" ref="A132:A195" si="4">TEXT($D132,"mmm")</f>
        <v>ene</v>
      </c>
      <c r="G132" s="6"/>
    </row>
    <row r="133" spans="1:7" x14ac:dyDescent="0.25">
      <c r="A133" s="3" t="str">
        <f t="shared" si="4"/>
        <v>ene</v>
      </c>
      <c r="G133" s="6"/>
    </row>
    <row r="134" spans="1:7" x14ac:dyDescent="0.25">
      <c r="A134" s="3" t="str">
        <f t="shared" si="4"/>
        <v>ene</v>
      </c>
      <c r="G134" s="6"/>
    </row>
    <row r="135" spans="1:7" x14ac:dyDescent="0.25">
      <c r="A135" s="3" t="str">
        <f t="shared" si="4"/>
        <v>ene</v>
      </c>
      <c r="G135" s="6"/>
    </row>
    <row r="136" spans="1:7" x14ac:dyDescent="0.25">
      <c r="A136" s="3" t="str">
        <f t="shared" si="4"/>
        <v>ene</v>
      </c>
      <c r="G136" s="6"/>
    </row>
    <row r="137" spans="1:7" x14ac:dyDescent="0.25">
      <c r="A137" s="3" t="str">
        <f t="shared" si="4"/>
        <v>ene</v>
      </c>
      <c r="G137" s="6"/>
    </row>
    <row r="138" spans="1:7" x14ac:dyDescent="0.25">
      <c r="A138" s="3" t="str">
        <f t="shared" si="4"/>
        <v>ene</v>
      </c>
      <c r="G138" s="6"/>
    </row>
    <row r="139" spans="1:7" x14ac:dyDescent="0.25">
      <c r="A139" s="3" t="str">
        <f t="shared" si="4"/>
        <v>ene</v>
      </c>
      <c r="G139" s="6"/>
    </row>
    <row r="140" spans="1:7" x14ac:dyDescent="0.25">
      <c r="A140" s="3" t="str">
        <f t="shared" si="4"/>
        <v>ene</v>
      </c>
      <c r="G140" s="6"/>
    </row>
    <row r="141" spans="1:7" x14ac:dyDescent="0.25">
      <c r="A141" s="3" t="str">
        <f t="shared" si="4"/>
        <v>ene</v>
      </c>
      <c r="G141" s="6"/>
    </row>
    <row r="142" spans="1:7" x14ac:dyDescent="0.25">
      <c r="A142" s="3" t="str">
        <f t="shared" si="4"/>
        <v>ene</v>
      </c>
      <c r="G142" s="6"/>
    </row>
    <row r="143" spans="1:7" x14ac:dyDescent="0.25">
      <c r="A143" s="3" t="str">
        <f t="shared" si="4"/>
        <v>ene</v>
      </c>
      <c r="G143" s="6"/>
    </row>
    <row r="144" spans="1:7" x14ac:dyDescent="0.25">
      <c r="A144" s="3" t="str">
        <f t="shared" si="4"/>
        <v>ene</v>
      </c>
      <c r="G144" s="6"/>
    </row>
    <row r="145" spans="1:7" x14ac:dyDescent="0.25">
      <c r="A145" s="3" t="str">
        <f t="shared" si="4"/>
        <v>ene</v>
      </c>
      <c r="G145" s="6"/>
    </row>
    <row r="146" spans="1:7" x14ac:dyDescent="0.25">
      <c r="A146" s="3" t="str">
        <f t="shared" si="4"/>
        <v>ene</v>
      </c>
      <c r="G146" s="6"/>
    </row>
    <row r="147" spans="1:7" x14ac:dyDescent="0.25">
      <c r="A147" s="3" t="str">
        <f t="shared" si="4"/>
        <v>ene</v>
      </c>
      <c r="G147" s="6"/>
    </row>
    <row r="148" spans="1:7" x14ac:dyDescent="0.25">
      <c r="A148" s="3" t="str">
        <f t="shared" si="4"/>
        <v>ene</v>
      </c>
      <c r="G148" s="6"/>
    </row>
    <row r="149" spans="1:7" x14ac:dyDescent="0.25">
      <c r="A149" s="3" t="str">
        <f t="shared" si="4"/>
        <v>ene</v>
      </c>
      <c r="G149" s="6"/>
    </row>
    <row r="150" spans="1:7" x14ac:dyDescent="0.25">
      <c r="A150" s="3" t="str">
        <f t="shared" si="4"/>
        <v>ene</v>
      </c>
      <c r="G150" s="6"/>
    </row>
    <row r="151" spans="1:7" x14ac:dyDescent="0.25">
      <c r="A151" s="3" t="str">
        <f t="shared" si="4"/>
        <v>ene</v>
      </c>
      <c r="G151" s="6"/>
    </row>
    <row r="152" spans="1:7" x14ac:dyDescent="0.25">
      <c r="A152" s="3" t="str">
        <f t="shared" si="4"/>
        <v>ene</v>
      </c>
      <c r="G152" s="6"/>
    </row>
    <row r="153" spans="1:7" x14ac:dyDescent="0.25">
      <c r="A153" s="3" t="str">
        <f t="shared" si="4"/>
        <v>ene</v>
      </c>
      <c r="G153" s="6"/>
    </row>
    <row r="154" spans="1:7" x14ac:dyDescent="0.25">
      <c r="A154" s="3" t="str">
        <f t="shared" si="4"/>
        <v>ene</v>
      </c>
      <c r="G154" s="6"/>
    </row>
    <row r="155" spans="1:7" x14ac:dyDescent="0.25">
      <c r="A155" s="3" t="str">
        <f t="shared" si="4"/>
        <v>ene</v>
      </c>
      <c r="G155" s="6"/>
    </row>
    <row r="156" spans="1:7" x14ac:dyDescent="0.25">
      <c r="A156" s="3" t="str">
        <f t="shared" si="4"/>
        <v>ene</v>
      </c>
      <c r="G156" s="6"/>
    </row>
    <row r="157" spans="1:7" x14ac:dyDescent="0.25">
      <c r="A157" s="3" t="str">
        <f t="shared" si="4"/>
        <v>ene</v>
      </c>
      <c r="G157" s="6"/>
    </row>
    <row r="158" spans="1:7" x14ac:dyDescent="0.25">
      <c r="A158" s="3" t="str">
        <f t="shared" si="4"/>
        <v>ene</v>
      </c>
      <c r="G158" s="6"/>
    </row>
    <row r="159" spans="1:7" x14ac:dyDescent="0.25">
      <c r="A159" s="3" t="str">
        <f t="shared" si="4"/>
        <v>ene</v>
      </c>
      <c r="G159" s="6"/>
    </row>
    <row r="160" spans="1:7" x14ac:dyDescent="0.25">
      <c r="A160" s="3" t="str">
        <f t="shared" si="4"/>
        <v>ene</v>
      </c>
      <c r="G160" s="6"/>
    </row>
    <row r="161" spans="1:7" x14ac:dyDescent="0.25">
      <c r="A161" s="3" t="str">
        <f t="shared" si="4"/>
        <v>ene</v>
      </c>
      <c r="G161" s="6"/>
    </row>
    <row r="162" spans="1:7" x14ac:dyDescent="0.25">
      <c r="A162" s="3" t="str">
        <f t="shared" si="4"/>
        <v>ene</v>
      </c>
      <c r="G162" s="6"/>
    </row>
    <row r="163" spans="1:7" x14ac:dyDescent="0.25">
      <c r="A163" s="3" t="str">
        <f t="shared" si="4"/>
        <v>ene</v>
      </c>
      <c r="G163" s="6"/>
    </row>
    <row r="164" spans="1:7" x14ac:dyDescent="0.25">
      <c r="A164" s="3" t="str">
        <f t="shared" si="4"/>
        <v>ene</v>
      </c>
      <c r="G164" s="6"/>
    </row>
    <row r="165" spans="1:7" x14ac:dyDescent="0.25">
      <c r="A165" s="3" t="str">
        <f t="shared" si="4"/>
        <v>ene</v>
      </c>
      <c r="G165" s="6"/>
    </row>
    <row r="166" spans="1:7" x14ac:dyDescent="0.25">
      <c r="A166" s="3" t="str">
        <f t="shared" si="4"/>
        <v>ene</v>
      </c>
      <c r="G166" s="6"/>
    </row>
    <row r="167" spans="1:7" x14ac:dyDescent="0.25">
      <c r="A167" s="3" t="str">
        <f t="shared" si="4"/>
        <v>ene</v>
      </c>
      <c r="G167" s="6"/>
    </row>
    <row r="168" spans="1:7" x14ac:dyDescent="0.25">
      <c r="A168" s="3" t="str">
        <f t="shared" si="4"/>
        <v>ene</v>
      </c>
      <c r="G168" s="6"/>
    </row>
    <row r="169" spans="1:7" x14ac:dyDescent="0.25">
      <c r="A169" s="3" t="str">
        <f t="shared" si="4"/>
        <v>ene</v>
      </c>
      <c r="G169" s="6"/>
    </row>
    <row r="170" spans="1:7" x14ac:dyDescent="0.25">
      <c r="A170" s="3" t="str">
        <f t="shared" si="4"/>
        <v>ene</v>
      </c>
      <c r="G170" s="6"/>
    </row>
    <row r="171" spans="1:7" x14ac:dyDescent="0.25">
      <c r="A171" s="3" t="str">
        <f t="shared" si="4"/>
        <v>ene</v>
      </c>
      <c r="G171" s="6"/>
    </row>
    <row r="172" spans="1:7" x14ac:dyDescent="0.25">
      <c r="A172" s="3" t="str">
        <f t="shared" si="4"/>
        <v>ene</v>
      </c>
      <c r="G172" s="6"/>
    </row>
    <row r="173" spans="1:7" x14ac:dyDescent="0.25">
      <c r="A173" s="3" t="str">
        <f t="shared" si="4"/>
        <v>ene</v>
      </c>
      <c r="G173" s="6"/>
    </row>
    <row r="174" spans="1:7" x14ac:dyDescent="0.25">
      <c r="A174" s="3" t="str">
        <f t="shared" si="4"/>
        <v>ene</v>
      </c>
      <c r="G174" s="6"/>
    </row>
    <row r="175" spans="1:7" x14ac:dyDescent="0.25">
      <c r="A175" s="3" t="str">
        <f t="shared" si="4"/>
        <v>ene</v>
      </c>
      <c r="G175" s="6"/>
    </row>
    <row r="176" spans="1:7" x14ac:dyDescent="0.25">
      <c r="A176" s="3" t="str">
        <f t="shared" si="4"/>
        <v>ene</v>
      </c>
      <c r="G176" s="6"/>
    </row>
    <row r="177" spans="1:7" x14ac:dyDescent="0.25">
      <c r="A177" s="3" t="str">
        <f t="shared" si="4"/>
        <v>ene</v>
      </c>
      <c r="G177" s="6"/>
    </row>
    <row r="178" spans="1:7" x14ac:dyDescent="0.25">
      <c r="A178" s="3" t="str">
        <f t="shared" si="4"/>
        <v>ene</v>
      </c>
      <c r="G178" s="6"/>
    </row>
    <row r="179" spans="1:7" x14ac:dyDescent="0.25">
      <c r="A179" s="3" t="str">
        <f t="shared" si="4"/>
        <v>ene</v>
      </c>
      <c r="G179" s="6"/>
    </row>
    <row r="180" spans="1:7" x14ac:dyDescent="0.25">
      <c r="A180" s="3" t="str">
        <f t="shared" si="4"/>
        <v>ene</v>
      </c>
      <c r="G180" s="6"/>
    </row>
    <row r="181" spans="1:7" x14ac:dyDescent="0.25">
      <c r="A181" s="3" t="str">
        <f t="shared" si="4"/>
        <v>ene</v>
      </c>
      <c r="G181" s="6"/>
    </row>
    <row r="182" spans="1:7" x14ac:dyDescent="0.25">
      <c r="A182" s="3" t="str">
        <f t="shared" si="4"/>
        <v>ene</v>
      </c>
      <c r="G182" s="6"/>
    </row>
    <row r="183" spans="1:7" x14ac:dyDescent="0.25">
      <c r="A183" s="3" t="str">
        <f t="shared" si="4"/>
        <v>ene</v>
      </c>
      <c r="G183" s="6"/>
    </row>
    <row r="184" spans="1:7" x14ac:dyDescent="0.25">
      <c r="A184" s="3" t="str">
        <f t="shared" si="4"/>
        <v>ene</v>
      </c>
      <c r="G184" s="6"/>
    </row>
    <row r="185" spans="1:7" x14ac:dyDescent="0.25">
      <c r="A185" s="3" t="str">
        <f t="shared" si="4"/>
        <v>ene</v>
      </c>
      <c r="G185" s="6"/>
    </row>
    <row r="186" spans="1:7" x14ac:dyDescent="0.25">
      <c r="A186" s="3" t="str">
        <f t="shared" si="4"/>
        <v>ene</v>
      </c>
      <c r="G186" s="6"/>
    </row>
    <row r="187" spans="1:7" x14ac:dyDescent="0.25">
      <c r="A187" s="3" t="str">
        <f t="shared" si="4"/>
        <v>ene</v>
      </c>
      <c r="G187" s="6"/>
    </row>
    <row r="188" spans="1:7" x14ac:dyDescent="0.25">
      <c r="A188" s="3" t="str">
        <f t="shared" si="4"/>
        <v>ene</v>
      </c>
      <c r="G188" s="6"/>
    </row>
    <row r="189" spans="1:7" x14ac:dyDescent="0.25">
      <c r="A189" s="3" t="str">
        <f t="shared" si="4"/>
        <v>ene</v>
      </c>
      <c r="G189" s="6"/>
    </row>
    <row r="190" spans="1:7" x14ac:dyDescent="0.25">
      <c r="A190" s="3" t="str">
        <f t="shared" si="4"/>
        <v>ene</v>
      </c>
      <c r="G190" s="6"/>
    </row>
    <row r="191" spans="1:7" x14ac:dyDescent="0.25">
      <c r="A191" s="3" t="str">
        <f t="shared" si="4"/>
        <v>ene</v>
      </c>
      <c r="G191" s="6"/>
    </row>
    <row r="192" spans="1:7" x14ac:dyDescent="0.25">
      <c r="A192" s="3" t="str">
        <f t="shared" si="4"/>
        <v>ene</v>
      </c>
      <c r="G192" s="6"/>
    </row>
    <row r="193" spans="1:7" x14ac:dyDescent="0.25">
      <c r="A193" s="3" t="str">
        <f t="shared" si="4"/>
        <v>ene</v>
      </c>
      <c r="G193" s="6"/>
    </row>
    <row r="194" spans="1:7" x14ac:dyDescent="0.25">
      <c r="A194" s="3" t="str">
        <f t="shared" si="4"/>
        <v>ene</v>
      </c>
      <c r="G194" s="6"/>
    </row>
    <row r="195" spans="1:7" x14ac:dyDescent="0.25">
      <c r="A195" s="3" t="str">
        <f t="shared" si="4"/>
        <v>ene</v>
      </c>
      <c r="G195" s="6"/>
    </row>
    <row r="196" spans="1:7" x14ac:dyDescent="0.25">
      <c r="A196" s="3" t="str">
        <f t="shared" ref="A196:A259" si="5">TEXT($D196,"mmm")</f>
        <v>ene</v>
      </c>
      <c r="G196" s="6"/>
    </row>
    <row r="197" spans="1:7" x14ac:dyDescent="0.25">
      <c r="A197" s="3" t="str">
        <f t="shared" si="5"/>
        <v>ene</v>
      </c>
      <c r="G197" s="6"/>
    </row>
    <row r="198" spans="1:7" x14ac:dyDescent="0.25">
      <c r="A198" s="3" t="str">
        <f t="shared" si="5"/>
        <v>ene</v>
      </c>
      <c r="G198" s="6"/>
    </row>
    <row r="199" spans="1:7" x14ac:dyDescent="0.25">
      <c r="A199" s="3" t="str">
        <f t="shared" si="5"/>
        <v>ene</v>
      </c>
      <c r="G199" s="6"/>
    </row>
    <row r="200" spans="1:7" x14ac:dyDescent="0.25">
      <c r="A200" s="3" t="str">
        <f t="shared" si="5"/>
        <v>ene</v>
      </c>
      <c r="G200" s="6"/>
    </row>
    <row r="201" spans="1:7" x14ac:dyDescent="0.25">
      <c r="A201" s="3" t="str">
        <f t="shared" si="5"/>
        <v>ene</v>
      </c>
      <c r="G201" s="6"/>
    </row>
    <row r="202" spans="1:7" x14ac:dyDescent="0.25">
      <c r="A202" s="3" t="str">
        <f t="shared" si="5"/>
        <v>ene</v>
      </c>
      <c r="G202" s="6"/>
    </row>
    <row r="203" spans="1:7" x14ac:dyDescent="0.25">
      <c r="A203" s="3" t="str">
        <f t="shared" si="5"/>
        <v>ene</v>
      </c>
      <c r="G203" s="6"/>
    </row>
    <row r="204" spans="1:7" x14ac:dyDescent="0.25">
      <c r="A204" s="3" t="str">
        <f t="shared" si="5"/>
        <v>ene</v>
      </c>
      <c r="G204" s="6"/>
    </row>
    <row r="205" spans="1:7" x14ac:dyDescent="0.25">
      <c r="A205" s="3" t="str">
        <f t="shared" si="5"/>
        <v>ene</v>
      </c>
      <c r="G205" s="6"/>
    </row>
    <row r="206" spans="1:7" x14ac:dyDescent="0.25">
      <c r="A206" s="3" t="str">
        <f t="shared" si="5"/>
        <v>ene</v>
      </c>
      <c r="G206" s="6"/>
    </row>
    <row r="207" spans="1:7" x14ac:dyDescent="0.25">
      <c r="A207" s="3" t="str">
        <f t="shared" si="5"/>
        <v>ene</v>
      </c>
      <c r="G207" s="6"/>
    </row>
    <row r="208" spans="1:7" x14ac:dyDescent="0.25">
      <c r="A208" s="3" t="str">
        <f t="shared" si="5"/>
        <v>ene</v>
      </c>
      <c r="G208" s="6"/>
    </row>
    <row r="209" spans="1:7" x14ac:dyDescent="0.25">
      <c r="A209" s="3" t="str">
        <f t="shared" si="5"/>
        <v>ene</v>
      </c>
      <c r="G209" s="6"/>
    </row>
    <row r="210" spans="1:7" x14ac:dyDescent="0.25">
      <c r="A210" s="3" t="str">
        <f t="shared" si="5"/>
        <v>ene</v>
      </c>
      <c r="G210" s="6"/>
    </row>
    <row r="211" spans="1:7" x14ac:dyDescent="0.25">
      <c r="A211" s="3" t="str">
        <f t="shared" si="5"/>
        <v>ene</v>
      </c>
      <c r="G211" s="6"/>
    </row>
    <row r="212" spans="1:7" x14ac:dyDescent="0.25">
      <c r="A212" s="3" t="str">
        <f t="shared" si="5"/>
        <v>ene</v>
      </c>
      <c r="G212" s="6"/>
    </row>
    <row r="213" spans="1:7" x14ac:dyDescent="0.25">
      <c r="A213" s="3" t="str">
        <f t="shared" si="5"/>
        <v>ene</v>
      </c>
      <c r="G213" s="6"/>
    </row>
    <row r="214" spans="1:7" x14ac:dyDescent="0.25">
      <c r="A214" s="3" t="str">
        <f t="shared" si="5"/>
        <v>ene</v>
      </c>
      <c r="G214" s="6"/>
    </row>
    <row r="215" spans="1:7" x14ac:dyDescent="0.25">
      <c r="A215" s="3" t="str">
        <f t="shared" si="5"/>
        <v>ene</v>
      </c>
      <c r="G215" s="6"/>
    </row>
    <row r="216" spans="1:7" x14ac:dyDescent="0.25">
      <c r="A216" s="3" t="str">
        <f t="shared" si="5"/>
        <v>ene</v>
      </c>
      <c r="G216" s="6"/>
    </row>
    <row r="217" spans="1:7" x14ac:dyDescent="0.25">
      <c r="A217" s="3" t="str">
        <f t="shared" si="5"/>
        <v>ene</v>
      </c>
      <c r="G217" s="6"/>
    </row>
    <row r="218" spans="1:7" x14ac:dyDescent="0.25">
      <c r="A218" s="3" t="str">
        <f t="shared" si="5"/>
        <v>ene</v>
      </c>
      <c r="G218" s="6"/>
    </row>
    <row r="219" spans="1:7" x14ac:dyDescent="0.25">
      <c r="A219" s="3" t="str">
        <f t="shared" si="5"/>
        <v>ene</v>
      </c>
      <c r="G219" s="6"/>
    </row>
    <row r="220" spans="1:7" x14ac:dyDescent="0.25">
      <c r="A220" s="3" t="str">
        <f t="shared" si="5"/>
        <v>ene</v>
      </c>
      <c r="G220" s="6"/>
    </row>
    <row r="221" spans="1:7" x14ac:dyDescent="0.25">
      <c r="A221" s="3" t="str">
        <f t="shared" si="5"/>
        <v>ene</v>
      </c>
      <c r="G221" s="6"/>
    </row>
    <row r="222" spans="1:7" x14ac:dyDescent="0.25">
      <c r="A222" s="3" t="str">
        <f t="shared" si="5"/>
        <v>ene</v>
      </c>
      <c r="G222" s="6"/>
    </row>
    <row r="223" spans="1:7" x14ac:dyDescent="0.25">
      <c r="A223" s="3" t="str">
        <f t="shared" si="5"/>
        <v>ene</v>
      </c>
      <c r="G223" s="6"/>
    </row>
    <row r="224" spans="1:7" x14ac:dyDescent="0.25">
      <c r="A224" s="3" t="str">
        <f t="shared" si="5"/>
        <v>ene</v>
      </c>
      <c r="G224" s="6"/>
    </row>
    <row r="225" spans="1:7" x14ac:dyDescent="0.25">
      <c r="A225" s="3" t="str">
        <f t="shared" si="5"/>
        <v>ene</v>
      </c>
      <c r="G225" s="6"/>
    </row>
    <row r="226" spans="1:7" x14ac:dyDescent="0.25">
      <c r="A226" s="3" t="str">
        <f t="shared" si="5"/>
        <v>ene</v>
      </c>
      <c r="G226" s="6"/>
    </row>
    <row r="227" spans="1:7" x14ac:dyDescent="0.25">
      <c r="A227" s="3" t="str">
        <f t="shared" si="5"/>
        <v>ene</v>
      </c>
      <c r="G227" s="6"/>
    </row>
    <row r="228" spans="1:7" x14ac:dyDescent="0.25">
      <c r="A228" s="3" t="str">
        <f t="shared" si="5"/>
        <v>ene</v>
      </c>
      <c r="G228" s="6"/>
    </row>
    <row r="229" spans="1:7" x14ac:dyDescent="0.25">
      <c r="A229" s="3" t="str">
        <f t="shared" si="5"/>
        <v>ene</v>
      </c>
      <c r="G229" s="6"/>
    </row>
    <row r="230" spans="1:7" x14ac:dyDescent="0.25">
      <c r="A230" s="3" t="str">
        <f t="shared" si="5"/>
        <v>ene</v>
      </c>
      <c r="G230" s="6"/>
    </row>
    <row r="231" spans="1:7" x14ac:dyDescent="0.25">
      <c r="A231" s="3" t="str">
        <f t="shared" si="5"/>
        <v>ene</v>
      </c>
      <c r="G231" s="6"/>
    </row>
    <row r="232" spans="1:7" x14ac:dyDescent="0.25">
      <c r="A232" s="3" t="str">
        <f t="shared" si="5"/>
        <v>ene</v>
      </c>
      <c r="G232" s="6"/>
    </row>
    <row r="233" spans="1:7" x14ac:dyDescent="0.25">
      <c r="A233" s="3" t="str">
        <f t="shared" si="5"/>
        <v>ene</v>
      </c>
      <c r="G233" s="6"/>
    </row>
    <row r="234" spans="1:7" x14ac:dyDescent="0.25">
      <c r="A234" s="3" t="str">
        <f t="shared" si="5"/>
        <v>ene</v>
      </c>
      <c r="G234" s="6"/>
    </row>
    <row r="235" spans="1:7" x14ac:dyDescent="0.25">
      <c r="A235" s="3" t="str">
        <f t="shared" si="5"/>
        <v>ene</v>
      </c>
      <c r="G235" s="6"/>
    </row>
    <row r="236" spans="1:7" x14ac:dyDescent="0.25">
      <c r="A236" s="3" t="str">
        <f t="shared" si="5"/>
        <v>ene</v>
      </c>
      <c r="G236" s="6"/>
    </row>
    <row r="237" spans="1:7" x14ac:dyDescent="0.25">
      <c r="A237" s="3" t="str">
        <f t="shared" si="5"/>
        <v>ene</v>
      </c>
      <c r="G237" s="6"/>
    </row>
    <row r="238" spans="1:7" x14ac:dyDescent="0.25">
      <c r="A238" s="3" t="str">
        <f t="shared" si="5"/>
        <v>ene</v>
      </c>
      <c r="G238" s="6"/>
    </row>
    <row r="239" spans="1:7" x14ac:dyDescent="0.25">
      <c r="A239" s="3" t="str">
        <f t="shared" si="5"/>
        <v>ene</v>
      </c>
      <c r="G239" s="6"/>
    </row>
    <row r="240" spans="1:7" x14ac:dyDescent="0.25">
      <c r="A240" s="3" t="str">
        <f t="shared" si="5"/>
        <v>ene</v>
      </c>
      <c r="G240" s="6"/>
    </row>
    <row r="241" spans="1:7" x14ac:dyDescent="0.25">
      <c r="A241" s="3" t="str">
        <f t="shared" si="5"/>
        <v>ene</v>
      </c>
      <c r="G241" s="6"/>
    </row>
    <row r="242" spans="1:7" x14ac:dyDescent="0.25">
      <c r="A242" s="3" t="str">
        <f t="shared" si="5"/>
        <v>ene</v>
      </c>
      <c r="G242" s="6"/>
    </row>
    <row r="243" spans="1:7" x14ac:dyDescent="0.25">
      <c r="A243" s="3" t="str">
        <f t="shared" si="5"/>
        <v>ene</v>
      </c>
      <c r="G243" s="6"/>
    </row>
    <row r="244" spans="1:7" x14ac:dyDescent="0.25">
      <c r="A244" s="3" t="str">
        <f t="shared" si="5"/>
        <v>ene</v>
      </c>
      <c r="G244" s="6"/>
    </row>
    <row r="245" spans="1:7" x14ac:dyDescent="0.25">
      <c r="A245" s="3" t="str">
        <f t="shared" si="5"/>
        <v>ene</v>
      </c>
      <c r="G245" s="6"/>
    </row>
    <row r="246" spans="1:7" x14ac:dyDescent="0.25">
      <c r="A246" s="3" t="str">
        <f t="shared" si="5"/>
        <v>ene</v>
      </c>
      <c r="G246" s="6"/>
    </row>
    <row r="247" spans="1:7" x14ac:dyDescent="0.25">
      <c r="A247" s="3" t="str">
        <f t="shared" si="5"/>
        <v>ene</v>
      </c>
      <c r="G247" s="6"/>
    </row>
    <row r="248" spans="1:7" x14ac:dyDescent="0.25">
      <c r="A248" s="3" t="str">
        <f t="shared" si="5"/>
        <v>ene</v>
      </c>
      <c r="G248" s="6"/>
    </row>
    <row r="249" spans="1:7" x14ac:dyDescent="0.25">
      <c r="A249" s="3" t="str">
        <f t="shared" si="5"/>
        <v>ene</v>
      </c>
      <c r="G249" s="6"/>
    </row>
    <row r="250" spans="1:7" x14ac:dyDescent="0.25">
      <c r="A250" s="3" t="str">
        <f t="shared" si="5"/>
        <v>ene</v>
      </c>
      <c r="G250" s="6"/>
    </row>
    <row r="251" spans="1:7" x14ac:dyDescent="0.25">
      <c r="A251" s="3" t="str">
        <f t="shared" si="5"/>
        <v>ene</v>
      </c>
      <c r="G251" s="6"/>
    </row>
    <row r="252" spans="1:7" x14ac:dyDescent="0.25">
      <c r="A252" s="3" t="str">
        <f t="shared" si="5"/>
        <v>ene</v>
      </c>
      <c r="G252" s="6"/>
    </row>
    <row r="253" spans="1:7" x14ac:dyDescent="0.25">
      <c r="A253" s="3" t="str">
        <f t="shared" si="5"/>
        <v>ene</v>
      </c>
      <c r="G253" s="6"/>
    </row>
    <row r="254" spans="1:7" x14ac:dyDescent="0.25">
      <c r="A254" s="3" t="str">
        <f t="shared" si="5"/>
        <v>ene</v>
      </c>
      <c r="G254" s="6"/>
    </row>
    <row r="255" spans="1:7" x14ac:dyDescent="0.25">
      <c r="A255" s="3" t="str">
        <f t="shared" si="5"/>
        <v>ene</v>
      </c>
      <c r="G255" s="6"/>
    </row>
    <row r="256" spans="1:7" x14ac:dyDescent="0.25">
      <c r="A256" s="3" t="str">
        <f t="shared" si="5"/>
        <v>ene</v>
      </c>
      <c r="G256" s="6"/>
    </row>
    <row r="257" spans="1:7" x14ac:dyDescent="0.25">
      <c r="A257" s="3" t="str">
        <f t="shared" si="5"/>
        <v>ene</v>
      </c>
      <c r="G257" s="6"/>
    </row>
    <row r="258" spans="1:7" x14ac:dyDescent="0.25">
      <c r="A258" s="3" t="str">
        <f t="shared" si="5"/>
        <v>ene</v>
      </c>
      <c r="G258" s="6"/>
    </row>
    <row r="259" spans="1:7" x14ac:dyDescent="0.25">
      <c r="A259" s="3" t="str">
        <f t="shared" si="5"/>
        <v>ene</v>
      </c>
      <c r="G259" s="6"/>
    </row>
    <row r="260" spans="1:7" x14ac:dyDescent="0.25">
      <c r="A260" s="3" t="str">
        <f t="shared" ref="A260:A323" si="6">TEXT($D260,"mmm")</f>
        <v>ene</v>
      </c>
      <c r="G260" s="6"/>
    </row>
    <row r="261" spans="1:7" x14ac:dyDescent="0.25">
      <c r="A261" s="3" t="str">
        <f t="shared" si="6"/>
        <v>ene</v>
      </c>
      <c r="G261" s="6"/>
    </row>
    <row r="262" spans="1:7" x14ac:dyDescent="0.25">
      <c r="A262" s="3" t="str">
        <f t="shared" si="6"/>
        <v>ene</v>
      </c>
      <c r="G262" s="6"/>
    </row>
    <row r="263" spans="1:7" x14ac:dyDescent="0.25">
      <c r="A263" s="3" t="str">
        <f t="shared" si="6"/>
        <v>ene</v>
      </c>
      <c r="G263" s="6"/>
    </row>
    <row r="264" spans="1:7" x14ac:dyDescent="0.25">
      <c r="A264" s="3" t="str">
        <f t="shared" si="6"/>
        <v>ene</v>
      </c>
      <c r="G264" s="6"/>
    </row>
    <row r="265" spans="1:7" x14ac:dyDescent="0.25">
      <c r="A265" s="3" t="str">
        <f t="shared" si="6"/>
        <v>ene</v>
      </c>
      <c r="G265" s="6"/>
    </row>
    <row r="266" spans="1:7" x14ac:dyDescent="0.25">
      <c r="A266" s="3" t="str">
        <f t="shared" si="6"/>
        <v>ene</v>
      </c>
      <c r="G266" s="6"/>
    </row>
    <row r="267" spans="1:7" x14ac:dyDescent="0.25">
      <c r="A267" s="3" t="str">
        <f t="shared" si="6"/>
        <v>ene</v>
      </c>
      <c r="G267" s="6"/>
    </row>
    <row r="268" spans="1:7" x14ac:dyDescent="0.25">
      <c r="A268" s="3" t="str">
        <f t="shared" si="6"/>
        <v>ene</v>
      </c>
      <c r="G268" s="6"/>
    </row>
    <row r="269" spans="1:7" x14ac:dyDescent="0.25">
      <c r="A269" s="3" t="str">
        <f t="shared" si="6"/>
        <v>ene</v>
      </c>
      <c r="G269" s="6"/>
    </row>
    <row r="270" spans="1:7" x14ac:dyDescent="0.25">
      <c r="A270" s="3" t="str">
        <f t="shared" si="6"/>
        <v>ene</v>
      </c>
      <c r="G270" s="6"/>
    </row>
    <row r="271" spans="1:7" x14ac:dyDescent="0.25">
      <c r="A271" s="3" t="str">
        <f t="shared" si="6"/>
        <v>ene</v>
      </c>
      <c r="G271" s="6"/>
    </row>
    <row r="272" spans="1:7" x14ac:dyDescent="0.25">
      <c r="A272" s="3" t="str">
        <f t="shared" si="6"/>
        <v>ene</v>
      </c>
      <c r="G272" s="6"/>
    </row>
    <row r="273" spans="1:7" x14ac:dyDescent="0.25">
      <c r="A273" s="3" t="str">
        <f t="shared" si="6"/>
        <v>ene</v>
      </c>
      <c r="G273" s="6"/>
    </row>
    <row r="274" spans="1:7" x14ac:dyDescent="0.25">
      <c r="A274" s="3" t="str">
        <f t="shared" si="6"/>
        <v>ene</v>
      </c>
      <c r="G274" s="6"/>
    </row>
    <row r="275" spans="1:7" x14ac:dyDescent="0.25">
      <c r="A275" s="3" t="str">
        <f t="shared" si="6"/>
        <v>ene</v>
      </c>
      <c r="G275" s="6"/>
    </row>
    <row r="276" spans="1:7" x14ac:dyDescent="0.25">
      <c r="A276" s="3" t="str">
        <f t="shared" si="6"/>
        <v>ene</v>
      </c>
      <c r="G276" s="6"/>
    </row>
    <row r="277" spans="1:7" x14ac:dyDescent="0.25">
      <c r="A277" s="3" t="str">
        <f t="shared" si="6"/>
        <v>ene</v>
      </c>
      <c r="G277" s="6"/>
    </row>
    <row r="278" spans="1:7" x14ac:dyDescent="0.25">
      <c r="A278" s="3" t="str">
        <f t="shared" si="6"/>
        <v>ene</v>
      </c>
      <c r="G278" s="6"/>
    </row>
    <row r="279" spans="1:7" x14ac:dyDescent="0.25">
      <c r="A279" s="3" t="str">
        <f t="shared" si="6"/>
        <v>ene</v>
      </c>
      <c r="G279" s="6"/>
    </row>
    <row r="280" spans="1:7" x14ac:dyDescent="0.25">
      <c r="A280" s="3" t="str">
        <f t="shared" si="6"/>
        <v>ene</v>
      </c>
      <c r="G280" s="6"/>
    </row>
    <row r="281" spans="1:7" x14ac:dyDescent="0.25">
      <c r="A281" s="3" t="str">
        <f t="shared" si="6"/>
        <v>ene</v>
      </c>
      <c r="G281" s="6"/>
    </row>
    <row r="282" spans="1:7" x14ac:dyDescent="0.25">
      <c r="A282" s="3" t="str">
        <f t="shared" si="6"/>
        <v>ene</v>
      </c>
      <c r="G282" s="6"/>
    </row>
    <row r="283" spans="1:7" x14ac:dyDescent="0.25">
      <c r="A283" s="3" t="str">
        <f t="shared" si="6"/>
        <v>ene</v>
      </c>
      <c r="G283" s="6"/>
    </row>
    <row r="284" spans="1:7" x14ac:dyDescent="0.25">
      <c r="A284" s="3" t="str">
        <f t="shared" si="6"/>
        <v>ene</v>
      </c>
      <c r="G284" s="6"/>
    </row>
    <row r="285" spans="1:7" x14ac:dyDescent="0.25">
      <c r="A285" s="3" t="str">
        <f t="shared" si="6"/>
        <v>ene</v>
      </c>
      <c r="G285" s="6"/>
    </row>
    <row r="286" spans="1:7" x14ac:dyDescent="0.25">
      <c r="A286" s="3" t="str">
        <f t="shared" si="6"/>
        <v>ene</v>
      </c>
      <c r="G286" s="6"/>
    </row>
    <row r="287" spans="1:7" x14ac:dyDescent="0.25">
      <c r="A287" s="3" t="str">
        <f t="shared" si="6"/>
        <v>ene</v>
      </c>
      <c r="G287" s="6"/>
    </row>
    <row r="288" spans="1:7" x14ac:dyDescent="0.25">
      <c r="A288" s="3" t="str">
        <f t="shared" si="6"/>
        <v>ene</v>
      </c>
      <c r="G288" s="6"/>
    </row>
    <row r="289" spans="1:7" x14ac:dyDescent="0.25">
      <c r="A289" s="3" t="str">
        <f t="shared" si="6"/>
        <v>ene</v>
      </c>
      <c r="G289" s="6"/>
    </row>
    <row r="290" spans="1:7" x14ac:dyDescent="0.25">
      <c r="A290" s="3" t="str">
        <f t="shared" si="6"/>
        <v>ene</v>
      </c>
      <c r="G290" s="6"/>
    </row>
    <row r="291" spans="1:7" x14ac:dyDescent="0.25">
      <c r="A291" s="3" t="str">
        <f t="shared" si="6"/>
        <v>ene</v>
      </c>
      <c r="G291" s="6"/>
    </row>
    <row r="292" spans="1:7" x14ac:dyDescent="0.25">
      <c r="A292" s="3" t="str">
        <f t="shared" si="6"/>
        <v>ene</v>
      </c>
      <c r="G292" s="6"/>
    </row>
    <row r="293" spans="1:7" x14ac:dyDescent="0.25">
      <c r="A293" s="3" t="str">
        <f t="shared" si="6"/>
        <v>ene</v>
      </c>
      <c r="G293" s="6"/>
    </row>
    <row r="294" spans="1:7" x14ac:dyDescent="0.25">
      <c r="A294" s="3" t="str">
        <f t="shared" si="6"/>
        <v>ene</v>
      </c>
      <c r="G294" s="6"/>
    </row>
    <row r="295" spans="1:7" x14ac:dyDescent="0.25">
      <c r="A295" s="3" t="str">
        <f t="shared" si="6"/>
        <v>ene</v>
      </c>
      <c r="G295" s="6"/>
    </row>
    <row r="296" spans="1:7" x14ac:dyDescent="0.25">
      <c r="A296" s="3" t="str">
        <f t="shared" si="6"/>
        <v>ene</v>
      </c>
      <c r="G296" s="6"/>
    </row>
    <row r="297" spans="1:7" x14ac:dyDescent="0.25">
      <c r="A297" s="3" t="str">
        <f t="shared" si="6"/>
        <v>ene</v>
      </c>
      <c r="G297" s="6"/>
    </row>
    <row r="298" spans="1:7" x14ac:dyDescent="0.25">
      <c r="A298" s="3" t="str">
        <f t="shared" si="6"/>
        <v>ene</v>
      </c>
      <c r="G298" s="6"/>
    </row>
    <row r="299" spans="1:7" x14ac:dyDescent="0.25">
      <c r="A299" s="3" t="str">
        <f t="shared" si="6"/>
        <v>ene</v>
      </c>
      <c r="G299" s="6"/>
    </row>
    <row r="300" spans="1:7" x14ac:dyDescent="0.25">
      <c r="A300" s="3" t="str">
        <f t="shared" si="6"/>
        <v>ene</v>
      </c>
      <c r="G300" s="6"/>
    </row>
    <row r="301" spans="1:7" x14ac:dyDescent="0.25">
      <c r="A301" s="3" t="str">
        <f t="shared" si="6"/>
        <v>ene</v>
      </c>
      <c r="G301" s="6"/>
    </row>
    <row r="302" spans="1:7" x14ac:dyDescent="0.25">
      <c r="A302" s="3" t="str">
        <f t="shared" si="6"/>
        <v>ene</v>
      </c>
      <c r="G302" s="6"/>
    </row>
    <row r="303" spans="1:7" x14ac:dyDescent="0.25">
      <c r="A303" s="3" t="str">
        <f t="shared" si="6"/>
        <v>ene</v>
      </c>
      <c r="G303" s="6"/>
    </row>
    <row r="304" spans="1:7" x14ac:dyDescent="0.25">
      <c r="A304" s="3" t="str">
        <f t="shared" si="6"/>
        <v>ene</v>
      </c>
      <c r="G304" s="6"/>
    </row>
    <row r="305" spans="1:7" x14ac:dyDescent="0.25">
      <c r="A305" s="3" t="str">
        <f t="shared" si="6"/>
        <v>ene</v>
      </c>
      <c r="G305" s="6"/>
    </row>
    <row r="306" spans="1:7" x14ac:dyDescent="0.25">
      <c r="A306" s="3" t="str">
        <f t="shared" si="6"/>
        <v>ene</v>
      </c>
      <c r="G306" s="6"/>
    </row>
    <row r="307" spans="1:7" x14ac:dyDescent="0.25">
      <c r="A307" s="3" t="str">
        <f t="shared" si="6"/>
        <v>ene</v>
      </c>
      <c r="G307" s="6"/>
    </row>
    <row r="308" spans="1:7" x14ac:dyDescent="0.25">
      <c r="A308" s="3" t="str">
        <f t="shared" si="6"/>
        <v>ene</v>
      </c>
      <c r="G308" s="6"/>
    </row>
    <row r="309" spans="1:7" x14ac:dyDescent="0.25">
      <c r="A309" s="3" t="str">
        <f t="shared" si="6"/>
        <v>ene</v>
      </c>
      <c r="G309" s="6"/>
    </row>
    <row r="310" spans="1:7" x14ac:dyDescent="0.25">
      <c r="A310" s="3" t="str">
        <f t="shared" si="6"/>
        <v>ene</v>
      </c>
      <c r="G310" s="6"/>
    </row>
    <row r="311" spans="1:7" x14ac:dyDescent="0.25">
      <c r="A311" s="3" t="str">
        <f t="shared" si="6"/>
        <v>ene</v>
      </c>
      <c r="G311" s="6"/>
    </row>
    <row r="312" spans="1:7" x14ac:dyDescent="0.25">
      <c r="A312" s="3" t="str">
        <f t="shared" si="6"/>
        <v>ene</v>
      </c>
      <c r="G312" s="6"/>
    </row>
    <row r="313" spans="1:7" x14ac:dyDescent="0.25">
      <c r="A313" s="3" t="str">
        <f t="shared" si="6"/>
        <v>ene</v>
      </c>
      <c r="G313" s="6"/>
    </row>
    <row r="314" spans="1:7" x14ac:dyDescent="0.25">
      <c r="A314" s="3" t="str">
        <f t="shared" si="6"/>
        <v>ene</v>
      </c>
      <c r="G314" s="6"/>
    </row>
    <row r="315" spans="1:7" x14ac:dyDescent="0.25">
      <c r="A315" s="3" t="str">
        <f t="shared" si="6"/>
        <v>ene</v>
      </c>
      <c r="G315" s="6"/>
    </row>
    <row r="316" spans="1:7" x14ac:dyDescent="0.25">
      <c r="A316" s="3" t="str">
        <f t="shared" si="6"/>
        <v>ene</v>
      </c>
      <c r="G316" s="6"/>
    </row>
    <row r="317" spans="1:7" x14ac:dyDescent="0.25">
      <c r="A317" s="3" t="str">
        <f t="shared" si="6"/>
        <v>ene</v>
      </c>
      <c r="G317" s="6"/>
    </row>
    <row r="318" spans="1:7" x14ac:dyDescent="0.25">
      <c r="A318" s="3" t="str">
        <f t="shared" si="6"/>
        <v>ene</v>
      </c>
      <c r="G318" s="6"/>
    </row>
    <row r="319" spans="1:7" x14ac:dyDescent="0.25">
      <c r="A319" s="3" t="str">
        <f t="shared" si="6"/>
        <v>ene</v>
      </c>
      <c r="G319" s="6"/>
    </row>
    <row r="320" spans="1:7" x14ac:dyDescent="0.25">
      <c r="A320" s="3" t="str">
        <f t="shared" si="6"/>
        <v>ene</v>
      </c>
      <c r="G320" s="6"/>
    </row>
    <row r="321" spans="1:7" x14ac:dyDescent="0.25">
      <c r="A321" s="3" t="str">
        <f t="shared" si="6"/>
        <v>ene</v>
      </c>
      <c r="G321" s="6"/>
    </row>
    <row r="322" spans="1:7" x14ac:dyDescent="0.25">
      <c r="A322" s="3" t="str">
        <f t="shared" si="6"/>
        <v>ene</v>
      </c>
      <c r="G322" s="6"/>
    </row>
    <row r="323" spans="1:7" x14ac:dyDescent="0.25">
      <c r="A323" s="3" t="str">
        <f t="shared" si="6"/>
        <v>ene</v>
      </c>
      <c r="G323" s="6"/>
    </row>
    <row r="324" spans="1:7" x14ac:dyDescent="0.25">
      <c r="A324" s="3" t="str">
        <f t="shared" ref="A324:A387" si="7">TEXT($D324,"mmm")</f>
        <v>ene</v>
      </c>
      <c r="G324" s="6"/>
    </row>
    <row r="325" spans="1:7" x14ac:dyDescent="0.25">
      <c r="A325" s="3" t="str">
        <f t="shared" si="7"/>
        <v>ene</v>
      </c>
      <c r="G325" s="6"/>
    </row>
    <row r="326" spans="1:7" x14ac:dyDescent="0.25">
      <c r="A326" s="3" t="str">
        <f t="shared" si="7"/>
        <v>ene</v>
      </c>
      <c r="G326" s="6"/>
    </row>
    <row r="327" spans="1:7" x14ac:dyDescent="0.25">
      <c r="A327" s="3" t="str">
        <f t="shared" si="7"/>
        <v>ene</v>
      </c>
      <c r="G327" s="6"/>
    </row>
    <row r="328" spans="1:7" x14ac:dyDescent="0.25">
      <c r="A328" s="3" t="str">
        <f t="shared" si="7"/>
        <v>ene</v>
      </c>
      <c r="G328" s="6"/>
    </row>
    <row r="329" spans="1:7" x14ac:dyDescent="0.25">
      <c r="A329" s="3" t="str">
        <f t="shared" si="7"/>
        <v>ene</v>
      </c>
      <c r="G329" s="6"/>
    </row>
    <row r="330" spans="1:7" x14ac:dyDescent="0.25">
      <c r="A330" s="3" t="str">
        <f t="shared" si="7"/>
        <v>ene</v>
      </c>
      <c r="G330" s="6"/>
    </row>
    <row r="331" spans="1:7" x14ac:dyDescent="0.25">
      <c r="A331" s="3" t="str">
        <f t="shared" si="7"/>
        <v>ene</v>
      </c>
      <c r="G331" s="6"/>
    </row>
    <row r="332" spans="1:7" x14ac:dyDescent="0.25">
      <c r="A332" s="3" t="str">
        <f t="shared" si="7"/>
        <v>ene</v>
      </c>
      <c r="G332" s="6"/>
    </row>
    <row r="333" spans="1:7" x14ac:dyDescent="0.25">
      <c r="A333" s="3" t="str">
        <f t="shared" si="7"/>
        <v>ene</v>
      </c>
      <c r="G333" s="6"/>
    </row>
    <row r="334" spans="1:7" x14ac:dyDescent="0.25">
      <c r="A334" s="3" t="str">
        <f t="shared" si="7"/>
        <v>ene</v>
      </c>
      <c r="G334" s="6"/>
    </row>
    <row r="335" spans="1:7" x14ac:dyDescent="0.25">
      <c r="A335" s="3" t="str">
        <f t="shared" si="7"/>
        <v>ene</v>
      </c>
      <c r="G335" s="6"/>
    </row>
    <row r="336" spans="1:7" x14ac:dyDescent="0.25">
      <c r="A336" s="3" t="str">
        <f t="shared" si="7"/>
        <v>ene</v>
      </c>
      <c r="G336" s="6"/>
    </row>
    <row r="337" spans="1:7" x14ac:dyDescent="0.25">
      <c r="A337" s="3" t="str">
        <f t="shared" si="7"/>
        <v>ene</v>
      </c>
      <c r="G337" s="6"/>
    </row>
    <row r="338" spans="1:7" x14ac:dyDescent="0.25">
      <c r="A338" s="3" t="str">
        <f t="shared" si="7"/>
        <v>ene</v>
      </c>
      <c r="G338" s="6"/>
    </row>
    <row r="339" spans="1:7" x14ac:dyDescent="0.25">
      <c r="A339" s="3" t="str">
        <f t="shared" si="7"/>
        <v>ene</v>
      </c>
      <c r="G339" s="6"/>
    </row>
    <row r="340" spans="1:7" x14ac:dyDescent="0.25">
      <c r="A340" s="3" t="str">
        <f t="shared" si="7"/>
        <v>ene</v>
      </c>
      <c r="G340" s="6"/>
    </row>
    <row r="341" spans="1:7" x14ac:dyDescent="0.25">
      <c r="A341" s="3" t="str">
        <f t="shared" si="7"/>
        <v>ene</v>
      </c>
      <c r="G341" s="6"/>
    </row>
    <row r="342" spans="1:7" x14ac:dyDescent="0.25">
      <c r="A342" s="3" t="str">
        <f t="shared" si="7"/>
        <v>ene</v>
      </c>
      <c r="G342" s="6"/>
    </row>
    <row r="343" spans="1:7" x14ac:dyDescent="0.25">
      <c r="A343" s="3" t="str">
        <f t="shared" si="7"/>
        <v>ene</v>
      </c>
      <c r="G343" s="6"/>
    </row>
    <row r="344" spans="1:7" x14ac:dyDescent="0.25">
      <c r="A344" s="3" t="str">
        <f t="shared" si="7"/>
        <v>ene</v>
      </c>
      <c r="G344" s="6"/>
    </row>
    <row r="345" spans="1:7" x14ac:dyDescent="0.25">
      <c r="A345" s="3" t="str">
        <f t="shared" si="7"/>
        <v>ene</v>
      </c>
      <c r="G345" s="6"/>
    </row>
    <row r="346" spans="1:7" x14ac:dyDescent="0.25">
      <c r="A346" s="3" t="str">
        <f t="shared" si="7"/>
        <v>ene</v>
      </c>
      <c r="G346" s="6"/>
    </row>
    <row r="347" spans="1:7" x14ac:dyDescent="0.25">
      <c r="A347" s="3" t="str">
        <f t="shared" si="7"/>
        <v>ene</v>
      </c>
      <c r="G347" s="6"/>
    </row>
    <row r="348" spans="1:7" x14ac:dyDescent="0.25">
      <c r="A348" s="3" t="str">
        <f t="shared" si="7"/>
        <v>ene</v>
      </c>
      <c r="G348" s="6"/>
    </row>
    <row r="349" spans="1:7" x14ac:dyDescent="0.25">
      <c r="A349" s="3" t="str">
        <f t="shared" si="7"/>
        <v>ene</v>
      </c>
      <c r="G349" s="6"/>
    </row>
    <row r="350" spans="1:7" x14ac:dyDescent="0.25">
      <c r="A350" s="3" t="str">
        <f t="shared" si="7"/>
        <v>ene</v>
      </c>
      <c r="G350" s="6"/>
    </row>
    <row r="351" spans="1:7" x14ac:dyDescent="0.25">
      <c r="A351" s="3" t="str">
        <f t="shared" si="7"/>
        <v>ene</v>
      </c>
      <c r="G351" s="6"/>
    </row>
    <row r="352" spans="1:7" x14ac:dyDescent="0.25">
      <c r="A352" s="3" t="str">
        <f t="shared" si="7"/>
        <v>ene</v>
      </c>
      <c r="G352" s="6"/>
    </row>
    <row r="353" spans="1:7" x14ac:dyDescent="0.25">
      <c r="A353" s="3" t="str">
        <f t="shared" si="7"/>
        <v>ene</v>
      </c>
      <c r="G353" s="6"/>
    </row>
    <row r="354" spans="1:7" x14ac:dyDescent="0.25">
      <c r="A354" s="3" t="str">
        <f t="shared" si="7"/>
        <v>ene</v>
      </c>
      <c r="G354" s="6"/>
    </row>
    <row r="355" spans="1:7" x14ac:dyDescent="0.25">
      <c r="A355" s="3" t="str">
        <f t="shared" si="7"/>
        <v>ene</v>
      </c>
      <c r="G355" s="6"/>
    </row>
    <row r="356" spans="1:7" x14ac:dyDescent="0.25">
      <c r="A356" s="3" t="str">
        <f t="shared" si="7"/>
        <v>ene</v>
      </c>
      <c r="G356" s="6"/>
    </row>
    <row r="357" spans="1:7" x14ac:dyDescent="0.25">
      <c r="A357" s="3" t="str">
        <f t="shared" si="7"/>
        <v>ene</v>
      </c>
      <c r="G357" s="6"/>
    </row>
    <row r="358" spans="1:7" x14ac:dyDescent="0.25">
      <c r="A358" s="3" t="str">
        <f t="shared" si="7"/>
        <v>ene</v>
      </c>
      <c r="G358" s="6"/>
    </row>
    <row r="359" spans="1:7" x14ac:dyDescent="0.25">
      <c r="A359" s="3" t="str">
        <f t="shared" si="7"/>
        <v>ene</v>
      </c>
      <c r="G359" s="6"/>
    </row>
    <row r="360" spans="1:7" x14ac:dyDescent="0.25">
      <c r="A360" s="3" t="str">
        <f t="shared" si="7"/>
        <v>ene</v>
      </c>
      <c r="G360" s="6"/>
    </row>
    <row r="361" spans="1:7" x14ac:dyDescent="0.25">
      <c r="A361" s="3" t="str">
        <f t="shared" si="7"/>
        <v>ene</v>
      </c>
      <c r="G361" s="6"/>
    </row>
    <row r="362" spans="1:7" x14ac:dyDescent="0.25">
      <c r="A362" s="3" t="str">
        <f t="shared" si="7"/>
        <v>ene</v>
      </c>
      <c r="G362" s="6"/>
    </row>
    <row r="363" spans="1:7" x14ac:dyDescent="0.25">
      <c r="A363" s="3" t="str">
        <f t="shared" si="7"/>
        <v>ene</v>
      </c>
      <c r="G363" s="6"/>
    </row>
    <row r="364" spans="1:7" x14ac:dyDescent="0.25">
      <c r="A364" s="3" t="str">
        <f t="shared" si="7"/>
        <v>ene</v>
      </c>
      <c r="G364" s="6"/>
    </row>
    <row r="365" spans="1:7" x14ac:dyDescent="0.25">
      <c r="A365" s="3" t="str">
        <f t="shared" si="7"/>
        <v>ene</v>
      </c>
      <c r="G365" s="6"/>
    </row>
    <row r="366" spans="1:7" x14ac:dyDescent="0.25">
      <c r="A366" s="3" t="str">
        <f t="shared" si="7"/>
        <v>ene</v>
      </c>
      <c r="G366" s="6"/>
    </row>
    <row r="367" spans="1:7" x14ac:dyDescent="0.25">
      <c r="A367" s="3" t="str">
        <f t="shared" si="7"/>
        <v>ene</v>
      </c>
      <c r="G367" s="6"/>
    </row>
    <row r="368" spans="1:7" x14ac:dyDescent="0.25">
      <c r="A368" s="3" t="str">
        <f t="shared" si="7"/>
        <v>ene</v>
      </c>
      <c r="G368" s="6"/>
    </row>
    <row r="369" spans="1:7" x14ac:dyDescent="0.25">
      <c r="A369" s="3" t="str">
        <f t="shared" si="7"/>
        <v>ene</v>
      </c>
      <c r="G369" s="6"/>
    </row>
    <row r="370" spans="1:7" x14ac:dyDescent="0.25">
      <c r="A370" s="3" t="str">
        <f t="shared" si="7"/>
        <v>ene</v>
      </c>
      <c r="G370" s="6"/>
    </row>
    <row r="371" spans="1:7" x14ac:dyDescent="0.25">
      <c r="A371" s="3" t="str">
        <f t="shared" si="7"/>
        <v>ene</v>
      </c>
      <c r="G371" s="6"/>
    </row>
    <row r="372" spans="1:7" x14ac:dyDescent="0.25">
      <c r="A372" s="3" t="str">
        <f t="shared" si="7"/>
        <v>ene</v>
      </c>
      <c r="G372" s="6"/>
    </row>
    <row r="373" spans="1:7" x14ac:dyDescent="0.25">
      <c r="A373" s="3" t="str">
        <f t="shared" si="7"/>
        <v>ene</v>
      </c>
      <c r="G373" s="6"/>
    </row>
    <row r="374" spans="1:7" x14ac:dyDescent="0.25">
      <c r="A374" s="3" t="str">
        <f t="shared" si="7"/>
        <v>ene</v>
      </c>
      <c r="G374" s="6"/>
    </row>
    <row r="375" spans="1:7" x14ac:dyDescent="0.25">
      <c r="A375" s="3" t="str">
        <f t="shared" si="7"/>
        <v>ene</v>
      </c>
      <c r="G375" s="6"/>
    </row>
    <row r="376" spans="1:7" x14ac:dyDescent="0.25">
      <c r="A376" s="3" t="str">
        <f t="shared" si="7"/>
        <v>ene</v>
      </c>
      <c r="G376" s="6"/>
    </row>
    <row r="377" spans="1:7" x14ac:dyDescent="0.25">
      <c r="A377" s="3" t="str">
        <f t="shared" si="7"/>
        <v>ene</v>
      </c>
      <c r="G377" s="6"/>
    </row>
    <row r="378" spans="1:7" x14ac:dyDescent="0.25">
      <c r="A378" s="3" t="str">
        <f t="shared" si="7"/>
        <v>ene</v>
      </c>
      <c r="G378" s="6"/>
    </row>
    <row r="379" spans="1:7" x14ac:dyDescent="0.25">
      <c r="A379" s="3" t="str">
        <f t="shared" si="7"/>
        <v>ene</v>
      </c>
      <c r="G379" s="6"/>
    </row>
    <row r="380" spans="1:7" x14ac:dyDescent="0.25">
      <c r="A380" s="3" t="str">
        <f t="shared" si="7"/>
        <v>ene</v>
      </c>
      <c r="G380" s="6"/>
    </row>
    <row r="381" spans="1:7" x14ac:dyDescent="0.25">
      <c r="A381" s="3" t="str">
        <f t="shared" si="7"/>
        <v>ene</v>
      </c>
      <c r="G381" s="6"/>
    </row>
    <row r="382" spans="1:7" x14ac:dyDescent="0.25">
      <c r="A382" s="3" t="str">
        <f t="shared" si="7"/>
        <v>ene</v>
      </c>
      <c r="G382" s="6"/>
    </row>
    <row r="383" spans="1:7" x14ac:dyDescent="0.25">
      <c r="A383" s="3" t="str">
        <f t="shared" si="7"/>
        <v>ene</v>
      </c>
      <c r="G383" s="6"/>
    </row>
    <row r="384" spans="1:7" x14ac:dyDescent="0.25">
      <c r="A384" s="3" t="str">
        <f t="shared" si="7"/>
        <v>ene</v>
      </c>
      <c r="G384" s="6"/>
    </row>
    <row r="385" spans="1:7" x14ac:dyDescent="0.25">
      <c r="A385" s="3" t="str">
        <f t="shared" si="7"/>
        <v>ene</v>
      </c>
      <c r="G385" s="6"/>
    </row>
    <row r="386" spans="1:7" x14ac:dyDescent="0.25">
      <c r="A386" s="3" t="str">
        <f t="shared" si="7"/>
        <v>ene</v>
      </c>
      <c r="G386" s="6"/>
    </row>
    <row r="387" spans="1:7" x14ac:dyDescent="0.25">
      <c r="A387" s="3" t="str">
        <f t="shared" si="7"/>
        <v>ene</v>
      </c>
      <c r="G387" s="6"/>
    </row>
    <row r="388" spans="1:7" x14ac:dyDescent="0.25">
      <c r="A388" s="3" t="str">
        <f t="shared" ref="A388:A451" si="8">TEXT($D388,"mmm")</f>
        <v>ene</v>
      </c>
      <c r="G388" s="6"/>
    </row>
    <row r="389" spans="1:7" x14ac:dyDescent="0.25">
      <c r="A389" s="3" t="str">
        <f t="shared" si="8"/>
        <v>ene</v>
      </c>
      <c r="G389" s="6"/>
    </row>
    <row r="390" spans="1:7" x14ac:dyDescent="0.25">
      <c r="A390" s="3" t="str">
        <f t="shared" si="8"/>
        <v>ene</v>
      </c>
      <c r="G390" s="6"/>
    </row>
    <row r="391" spans="1:7" x14ac:dyDescent="0.25">
      <c r="A391" s="3" t="str">
        <f t="shared" si="8"/>
        <v>ene</v>
      </c>
      <c r="G391" s="6"/>
    </row>
    <row r="392" spans="1:7" x14ac:dyDescent="0.25">
      <c r="A392" s="3" t="str">
        <f t="shared" si="8"/>
        <v>ene</v>
      </c>
      <c r="G392" s="6"/>
    </row>
    <row r="393" spans="1:7" x14ac:dyDescent="0.25">
      <c r="A393" s="3" t="str">
        <f t="shared" si="8"/>
        <v>ene</v>
      </c>
      <c r="G393" s="6"/>
    </row>
    <row r="394" spans="1:7" x14ac:dyDescent="0.25">
      <c r="A394" s="3" t="str">
        <f t="shared" si="8"/>
        <v>ene</v>
      </c>
      <c r="G394" s="6"/>
    </row>
    <row r="395" spans="1:7" x14ac:dyDescent="0.25">
      <c r="A395" s="3" t="str">
        <f t="shared" si="8"/>
        <v>ene</v>
      </c>
      <c r="G395" s="6"/>
    </row>
    <row r="396" spans="1:7" x14ac:dyDescent="0.25">
      <c r="A396" s="3" t="str">
        <f t="shared" si="8"/>
        <v>ene</v>
      </c>
      <c r="G396" s="6"/>
    </row>
    <row r="397" spans="1:7" x14ac:dyDescent="0.25">
      <c r="A397" s="3" t="str">
        <f t="shared" si="8"/>
        <v>ene</v>
      </c>
      <c r="G397" s="6"/>
    </row>
    <row r="398" spans="1:7" x14ac:dyDescent="0.25">
      <c r="A398" s="3" t="str">
        <f t="shared" si="8"/>
        <v>ene</v>
      </c>
      <c r="G398" s="6"/>
    </row>
    <row r="399" spans="1:7" x14ac:dyDescent="0.25">
      <c r="A399" s="3" t="str">
        <f t="shared" si="8"/>
        <v>ene</v>
      </c>
      <c r="G399" s="6"/>
    </row>
    <row r="400" spans="1:7" x14ac:dyDescent="0.25">
      <c r="A400" s="3" t="str">
        <f t="shared" si="8"/>
        <v>ene</v>
      </c>
      <c r="G400" s="6"/>
    </row>
    <row r="401" spans="1:7" x14ac:dyDescent="0.25">
      <c r="A401" s="3" t="str">
        <f t="shared" si="8"/>
        <v>ene</v>
      </c>
      <c r="G401" s="6"/>
    </row>
    <row r="402" spans="1:7" x14ac:dyDescent="0.25">
      <c r="A402" s="3" t="str">
        <f t="shared" si="8"/>
        <v>ene</v>
      </c>
      <c r="G402" s="6"/>
    </row>
    <row r="403" spans="1:7" x14ac:dyDescent="0.25">
      <c r="A403" s="3" t="str">
        <f t="shared" si="8"/>
        <v>ene</v>
      </c>
      <c r="G403" s="6"/>
    </row>
    <row r="404" spans="1:7" x14ac:dyDescent="0.25">
      <c r="A404" s="3" t="str">
        <f t="shared" si="8"/>
        <v>ene</v>
      </c>
      <c r="G404" s="6"/>
    </row>
    <row r="405" spans="1:7" x14ac:dyDescent="0.25">
      <c r="A405" s="3" t="str">
        <f t="shared" si="8"/>
        <v>ene</v>
      </c>
      <c r="G405" s="6"/>
    </row>
    <row r="406" spans="1:7" x14ac:dyDescent="0.25">
      <c r="A406" s="3" t="str">
        <f t="shared" si="8"/>
        <v>ene</v>
      </c>
      <c r="G406" s="6"/>
    </row>
    <row r="407" spans="1:7" x14ac:dyDescent="0.25">
      <c r="A407" s="3" t="str">
        <f t="shared" si="8"/>
        <v>ene</v>
      </c>
      <c r="G407" s="6"/>
    </row>
    <row r="408" spans="1:7" x14ac:dyDescent="0.25">
      <c r="A408" s="3" t="str">
        <f t="shared" si="8"/>
        <v>ene</v>
      </c>
      <c r="G408" s="6"/>
    </row>
    <row r="409" spans="1:7" x14ac:dyDescent="0.25">
      <c r="A409" s="3" t="str">
        <f t="shared" si="8"/>
        <v>ene</v>
      </c>
      <c r="G409" s="6"/>
    </row>
    <row r="410" spans="1:7" x14ac:dyDescent="0.25">
      <c r="A410" s="3" t="str">
        <f t="shared" si="8"/>
        <v>ene</v>
      </c>
      <c r="G410" s="6"/>
    </row>
    <row r="411" spans="1:7" x14ac:dyDescent="0.25">
      <c r="A411" s="3" t="str">
        <f t="shared" si="8"/>
        <v>ene</v>
      </c>
      <c r="G411" s="6"/>
    </row>
    <row r="412" spans="1:7" x14ac:dyDescent="0.25">
      <c r="A412" s="3" t="str">
        <f t="shared" si="8"/>
        <v>ene</v>
      </c>
      <c r="G412" s="6"/>
    </row>
    <row r="413" spans="1:7" x14ac:dyDescent="0.25">
      <c r="A413" s="3" t="str">
        <f t="shared" si="8"/>
        <v>ene</v>
      </c>
      <c r="G413" s="6"/>
    </row>
    <row r="414" spans="1:7" x14ac:dyDescent="0.25">
      <c r="A414" s="3" t="str">
        <f t="shared" si="8"/>
        <v>ene</v>
      </c>
      <c r="G414" s="6"/>
    </row>
    <row r="415" spans="1:7" x14ac:dyDescent="0.25">
      <c r="A415" s="3" t="str">
        <f t="shared" si="8"/>
        <v>ene</v>
      </c>
      <c r="G415" s="6"/>
    </row>
    <row r="416" spans="1:7" x14ac:dyDescent="0.25">
      <c r="A416" s="3" t="str">
        <f t="shared" si="8"/>
        <v>ene</v>
      </c>
      <c r="G416" s="6"/>
    </row>
    <row r="417" spans="1:7" x14ac:dyDescent="0.25">
      <c r="A417" s="3" t="str">
        <f t="shared" si="8"/>
        <v>ene</v>
      </c>
      <c r="G417" s="6"/>
    </row>
    <row r="418" spans="1:7" x14ac:dyDescent="0.25">
      <c r="A418" s="3" t="str">
        <f t="shared" si="8"/>
        <v>ene</v>
      </c>
      <c r="G418" s="6"/>
    </row>
    <row r="419" spans="1:7" x14ac:dyDescent="0.25">
      <c r="A419" s="3" t="str">
        <f t="shared" si="8"/>
        <v>ene</v>
      </c>
      <c r="G419" s="6"/>
    </row>
    <row r="420" spans="1:7" x14ac:dyDescent="0.25">
      <c r="A420" s="3" t="str">
        <f t="shared" si="8"/>
        <v>ene</v>
      </c>
      <c r="G420" s="6"/>
    </row>
    <row r="421" spans="1:7" x14ac:dyDescent="0.25">
      <c r="A421" s="3" t="str">
        <f t="shared" si="8"/>
        <v>ene</v>
      </c>
      <c r="G421" s="6"/>
    </row>
    <row r="422" spans="1:7" x14ac:dyDescent="0.25">
      <c r="A422" s="3" t="str">
        <f t="shared" si="8"/>
        <v>ene</v>
      </c>
      <c r="G422" s="6"/>
    </row>
    <row r="423" spans="1:7" x14ac:dyDescent="0.25">
      <c r="A423" s="3" t="str">
        <f t="shared" si="8"/>
        <v>ene</v>
      </c>
      <c r="G423" s="6"/>
    </row>
    <row r="424" spans="1:7" x14ac:dyDescent="0.25">
      <c r="A424" s="3" t="str">
        <f t="shared" si="8"/>
        <v>ene</v>
      </c>
      <c r="G424" s="6"/>
    </row>
    <row r="425" spans="1:7" x14ac:dyDescent="0.25">
      <c r="A425" s="3" t="str">
        <f t="shared" si="8"/>
        <v>ene</v>
      </c>
      <c r="G425" s="6"/>
    </row>
    <row r="426" spans="1:7" x14ac:dyDescent="0.25">
      <c r="A426" s="3" t="str">
        <f t="shared" si="8"/>
        <v>ene</v>
      </c>
      <c r="G426" s="6"/>
    </row>
    <row r="427" spans="1:7" x14ac:dyDescent="0.25">
      <c r="A427" s="3" t="str">
        <f t="shared" si="8"/>
        <v>ene</v>
      </c>
      <c r="G427" s="6"/>
    </row>
    <row r="428" spans="1:7" x14ac:dyDescent="0.25">
      <c r="A428" s="3" t="str">
        <f t="shared" si="8"/>
        <v>ene</v>
      </c>
      <c r="G428" s="6"/>
    </row>
    <row r="429" spans="1:7" x14ac:dyDescent="0.25">
      <c r="A429" s="3" t="str">
        <f t="shared" si="8"/>
        <v>ene</v>
      </c>
      <c r="G429" s="6"/>
    </row>
    <row r="430" spans="1:7" x14ac:dyDescent="0.25">
      <c r="A430" s="3" t="str">
        <f t="shared" si="8"/>
        <v>ene</v>
      </c>
      <c r="G430" s="6"/>
    </row>
    <row r="431" spans="1:7" x14ac:dyDescent="0.25">
      <c r="A431" s="3" t="str">
        <f t="shared" si="8"/>
        <v>ene</v>
      </c>
      <c r="G431" s="6"/>
    </row>
    <row r="432" spans="1:7" x14ac:dyDescent="0.25">
      <c r="A432" s="3" t="str">
        <f t="shared" si="8"/>
        <v>ene</v>
      </c>
      <c r="G432" s="6"/>
    </row>
    <row r="433" spans="1:7" x14ac:dyDescent="0.25">
      <c r="A433" s="3" t="str">
        <f t="shared" si="8"/>
        <v>ene</v>
      </c>
      <c r="G433" s="6"/>
    </row>
    <row r="434" spans="1:7" x14ac:dyDescent="0.25">
      <c r="A434" s="3" t="str">
        <f t="shared" si="8"/>
        <v>ene</v>
      </c>
      <c r="G434" s="6"/>
    </row>
    <row r="435" spans="1:7" x14ac:dyDescent="0.25">
      <c r="A435" s="3" t="str">
        <f t="shared" si="8"/>
        <v>ene</v>
      </c>
      <c r="G435" s="6"/>
    </row>
    <row r="436" spans="1:7" x14ac:dyDescent="0.25">
      <c r="A436" s="3" t="str">
        <f t="shared" si="8"/>
        <v>ene</v>
      </c>
      <c r="G436" s="6"/>
    </row>
    <row r="437" spans="1:7" x14ac:dyDescent="0.25">
      <c r="A437" s="3" t="str">
        <f t="shared" si="8"/>
        <v>ene</v>
      </c>
      <c r="G437" s="6"/>
    </row>
    <row r="438" spans="1:7" x14ac:dyDescent="0.25">
      <c r="A438" s="3" t="str">
        <f t="shared" si="8"/>
        <v>ene</v>
      </c>
      <c r="G438" s="6"/>
    </row>
    <row r="439" spans="1:7" x14ac:dyDescent="0.25">
      <c r="A439" s="3" t="str">
        <f t="shared" si="8"/>
        <v>ene</v>
      </c>
      <c r="G439" s="6"/>
    </row>
    <row r="440" spans="1:7" x14ac:dyDescent="0.25">
      <c r="A440" s="3" t="str">
        <f t="shared" si="8"/>
        <v>ene</v>
      </c>
      <c r="G440" s="6"/>
    </row>
    <row r="441" spans="1:7" x14ac:dyDescent="0.25">
      <c r="A441" s="3" t="str">
        <f t="shared" si="8"/>
        <v>ene</v>
      </c>
      <c r="G441" s="6"/>
    </row>
    <row r="442" spans="1:7" x14ac:dyDescent="0.25">
      <c r="A442" s="3" t="str">
        <f t="shared" si="8"/>
        <v>ene</v>
      </c>
      <c r="G442" s="6"/>
    </row>
    <row r="443" spans="1:7" x14ac:dyDescent="0.25">
      <c r="A443" s="3" t="str">
        <f t="shared" si="8"/>
        <v>ene</v>
      </c>
      <c r="G443" s="6"/>
    </row>
    <row r="444" spans="1:7" x14ac:dyDescent="0.25">
      <c r="A444" s="3" t="str">
        <f t="shared" si="8"/>
        <v>ene</v>
      </c>
      <c r="G444" s="6"/>
    </row>
    <row r="445" spans="1:7" x14ac:dyDescent="0.25">
      <c r="A445" s="3" t="str">
        <f t="shared" si="8"/>
        <v>ene</v>
      </c>
      <c r="G445" s="6"/>
    </row>
    <row r="446" spans="1:7" x14ac:dyDescent="0.25">
      <c r="A446" s="3" t="str">
        <f t="shared" si="8"/>
        <v>ene</v>
      </c>
      <c r="G446" s="6"/>
    </row>
    <row r="447" spans="1:7" x14ac:dyDescent="0.25">
      <c r="A447" s="3" t="str">
        <f t="shared" si="8"/>
        <v>ene</v>
      </c>
      <c r="G447" s="6"/>
    </row>
    <row r="448" spans="1:7" x14ac:dyDescent="0.25">
      <c r="A448" s="3" t="str">
        <f t="shared" si="8"/>
        <v>ene</v>
      </c>
      <c r="G448" s="6"/>
    </row>
    <row r="449" spans="1:7" x14ac:dyDescent="0.25">
      <c r="A449" s="3" t="str">
        <f t="shared" si="8"/>
        <v>ene</v>
      </c>
      <c r="G449" s="6"/>
    </row>
    <row r="450" spans="1:7" x14ac:dyDescent="0.25">
      <c r="A450" s="3" t="str">
        <f t="shared" si="8"/>
        <v>ene</v>
      </c>
      <c r="G450" s="6"/>
    </row>
    <row r="451" spans="1:7" x14ac:dyDescent="0.25">
      <c r="A451" s="3" t="str">
        <f t="shared" si="8"/>
        <v>ene</v>
      </c>
      <c r="G451" s="6"/>
    </row>
    <row r="452" spans="1:7" x14ac:dyDescent="0.25">
      <c r="A452" s="3" t="str">
        <f t="shared" ref="A452:A457" si="9">TEXT($D452,"mmm")</f>
        <v>ene</v>
      </c>
      <c r="G452" s="6"/>
    </row>
    <row r="453" spans="1:7" x14ac:dyDescent="0.25">
      <c r="A453" s="3" t="str">
        <f t="shared" si="9"/>
        <v>ene</v>
      </c>
      <c r="G453" s="6"/>
    </row>
    <row r="454" spans="1:7" x14ac:dyDescent="0.25">
      <c r="A454" s="3" t="str">
        <f t="shared" si="9"/>
        <v>ene</v>
      </c>
      <c r="G454" s="6"/>
    </row>
    <row r="455" spans="1:7" x14ac:dyDescent="0.25">
      <c r="A455" s="3" t="str">
        <f t="shared" si="9"/>
        <v>ene</v>
      </c>
      <c r="G455" s="6"/>
    </row>
    <row r="456" spans="1:7" x14ac:dyDescent="0.25">
      <c r="A456" s="3" t="str">
        <f t="shared" si="9"/>
        <v>ene</v>
      </c>
      <c r="G456" s="6"/>
    </row>
    <row r="457" spans="1:7" x14ac:dyDescent="0.25">
      <c r="A457" s="3" t="str">
        <f t="shared" si="9"/>
        <v>ene</v>
      </c>
      <c r="G457" s="6"/>
    </row>
    <row r="458" spans="1:7" x14ac:dyDescent="0.25">
      <c r="G458" s="6"/>
    </row>
    <row r="459" spans="1:7" x14ac:dyDescent="0.25">
      <c r="G459" s="6"/>
    </row>
    <row r="460" spans="1:7" x14ac:dyDescent="0.25">
      <c r="G460" s="6"/>
    </row>
    <row r="461" spans="1:7" x14ac:dyDescent="0.25">
      <c r="G461" s="6"/>
    </row>
    <row r="462" spans="1:7" x14ac:dyDescent="0.25">
      <c r="G462" s="6"/>
    </row>
    <row r="463" spans="1:7" x14ac:dyDescent="0.25">
      <c r="G463" s="6"/>
    </row>
    <row r="464" spans="1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</sheetData>
  <mergeCells count="2">
    <mergeCell ref="J1:P1"/>
    <mergeCell ref="A1:H1"/>
  </mergeCells>
  <conditionalFormatting sqref="L3:L15">
    <cfRule type="cellIs" dxfId="119" priority="35" operator="equal">
      <formula>"INVENTARIADO"</formula>
    </cfRule>
    <cfRule type="cellIs" dxfId="118" priority="36" operator="equal">
      <formula>"PENDIENTE"</formula>
    </cfRule>
  </conditionalFormatting>
  <conditionalFormatting sqref="L3:L21 L26:L28 L46:L1048576">
    <cfRule type="cellIs" dxfId="117" priority="28" operator="equal">
      <formula>"AL DIA (MENOS 10 DIAS)"</formula>
    </cfRule>
    <cfRule type="cellIs" dxfId="116" priority="29" operator="equal">
      <formula>"POR REALIZAR(ALERTA)"</formula>
    </cfRule>
    <cfRule type="cellIs" dxfId="115" priority="30" operator="equal">
      <formula>"POR REALIAR(ALERTA)"</formula>
    </cfRule>
    <cfRule type="cellIs" dxfId="114" priority="31" operator="equal">
      <formula>"CRITICO(MAS 30 DIAS)"</formula>
    </cfRule>
    <cfRule type="cellIs" dxfId="113" priority="32" operator="equal">
      <formula>"POR REALIZAR (ALERTA)"</formula>
    </cfRule>
    <cfRule type="cellIs" dxfId="112" priority="33" operator="equal">
      <formula>$L$4</formula>
    </cfRule>
    <cfRule type="cellIs" dxfId="111" priority="34" operator="equal">
      <formula>$L$3</formula>
    </cfRule>
  </conditionalFormatting>
  <conditionalFormatting sqref="O2:P2">
    <cfRule type="cellIs" dxfId="110" priority="1" operator="equal">
      <formula>"AL DIA (MENOS 10 DIAS)"</formula>
    </cfRule>
    <cfRule type="cellIs" dxfId="109" priority="2" operator="equal">
      <formula>"POR REALIZAR(ALERTA)"</formula>
    </cfRule>
    <cfRule type="cellIs" dxfId="108" priority="3" operator="equal">
      <formula>"POR REALIAR(ALERTA)"</formula>
    </cfRule>
    <cfRule type="cellIs" dxfId="107" priority="4" operator="equal">
      <formula>"CRITICO(MAS 30 DIAS)"</formula>
    </cfRule>
    <cfRule type="cellIs" dxfId="106" priority="5" operator="equal">
      <formula>"POR REALIZAR (ALERTA)"</formula>
    </cfRule>
    <cfRule type="cellIs" dxfId="105" priority="6" operator="equal">
      <formula>$L$4</formula>
    </cfRule>
    <cfRule type="cellIs" dxfId="104" priority="7" operator="equal">
      <formula>$L$3</formula>
    </cfRule>
    <cfRule type="cellIs" dxfId="103" priority="8" operator="equal">
      <formula>"INVENTARIADO"</formula>
    </cfRule>
    <cfRule type="cellIs" dxfId="102" priority="9" operator="equal">
      <formula>"PENDIENTE"</formula>
    </cfRule>
  </conditionalFormatting>
  <dataValidations count="2">
    <dataValidation type="list" allowBlank="1" showInputMessage="1" showErrorMessage="1" sqref="B3:B5 B6:B1048576" xr:uid="{00000000-0002-0000-0000-000000000000}">
      <formula1>$J$3:$J$15</formula1>
    </dataValidation>
    <dataValidation type="list" allowBlank="1" showInputMessage="1" showErrorMessage="1" sqref="G3:G1048576" xr:uid="{00000000-0002-0000-0000-000001000000}">
      <formula1>$Q$2:$Q$5</formula1>
    </dataValidation>
  </dataValidation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7"/>
  <sheetViews>
    <sheetView topLeftCell="B1" workbookViewId="0">
      <selection activeCell="G8" sqref="G8"/>
    </sheetView>
  </sheetViews>
  <sheetFormatPr baseColWidth="10" defaultRowHeight="15" x14ac:dyDescent="0.25"/>
  <cols>
    <col min="1" max="1" width="0" hidden="1" customWidth="1"/>
    <col min="2" max="3" width="17.85546875" customWidth="1"/>
    <col min="4" max="4" width="22.140625" style="44" bestFit="1" customWidth="1"/>
    <col min="5" max="5" width="15.42578125" customWidth="1"/>
    <col min="6" max="6" width="14.85546875" customWidth="1"/>
    <col min="7" max="7" width="14.7109375" customWidth="1"/>
    <col min="8" max="8" width="18.42578125" customWidth="1"/>
    <col min="9" max="9" width="6.5703125" style="22" customWidth="1"/>
    <col min="10" max="10" width="28.140625" bestFit="1" customWidth="1"/>
    <col min="11" max="11" width="22.5703125" customWidth="1"/>
    <col min="12" max="12" width="28.7109375" customWidth="1"/>
    <col min="14" max="14" width="17.5703125" bestFit="1" customWidth="1"/>
    <col min="15" max="15" width="25.5703125" bestFit="1" customWidth="1"/>
    <col min="16" max="16" width="26" bestFit="1" customWidth="1"/>
    <col min="17" max="17" width="20" style="8" bestFit="1" customWidth="1"/>
    <col min="18" max="18" width="19.42578125" bestFit="1" customWidth="1"/>
  </cols>
  <sheetData>
    <row r="1" spans="1:17" ht="28.5" x14ac:dyDescent="0.45">
      <c r="A1" s="32"/>
      <c r="B1" s="50" t="s">
        <v>608</v>
      </c>
      <c r="C1" s="50"/>
      <c r="D1" s="50"/>
      <c r="E1" s="50"/>
      <c r="F1" s="50"/>
      <c r="G1" s="50"/>
      <c r="H1" s="50"/>
      <c r="J1" s="50" t="s">
        <v>609</v>
      </c>
      <c r="K1" s="50"/>
      <c r="L1" s="50"/>
      <c r="M1" s="50"/>
      <c r="N1" s="50"/>
      <c r="O1" s="50"/>
      <c r="P1" s="51"/>
      <c r="Q1" s="36" t="s">
        <v>610</v>
      </c>
    </row>
    <row r="2" spans="1:17" x14ac:dyDescent="0.25">
      <c r="A2" s="23" t="s">
        <v>645</v>
      </c>
      <c r="B2" s="1" t="s">
        <v>0</v>
      </c>
      <c r="C2" s="1" t="s">
        <v>635</v>
      </c>
      <c r="D2" s="13" t="s">
        <v>212</v>
      </c>
      <c r="E2" s="1" t="s">
        <v>214</v>
      </c>
      <c r="F2" s="1" t="s">
        <v>215</v>
      </c>
      <c r="G2" s="1" t="s">
        <v>1</v>
      </c>
      <c r="H2" s="1" t="s">
        <v>213</v>
      </c>
      <c r="J2" s="1">
        <v>2026</v>
      </c>
      <c r="K2" s="13" t="s">
        <v>603</v>
      </c>
      <c r="L2" s="13" t="s">
        <v>602</v>
      </c>
      <c r="N2" s="18" t="s">
        <v>605</v>
      </c>
      <c r="O2" s="6" t="s">
        <v>607</v>
      </c>
      <c r="P2" s="38" t="s">
        <v>606</v>
      </c>
      <c r="Q2" s="37" t="s">
        <v>613</v>
      </c>
    </row>
    <row r="3" spans="1:17" x14ac:dyDescent="0.25">
      <c r="A3" s="3" t="str">
        <f>TEXT($D3,"mmm")</f>
        <v>oct</v>
      </c>
      <c r="B3" s="6" t="s">
        <v>524</v>
      </c>
      <c r="C3" s="6">
        <v>869</v>
      </c>
      <c r="D3" s="16">
        <v>46310</v>
      </c>
      <c r="E3" s="4"/>
      <c r="F3" s="4"/>
      <c r="G3" s="4" t="s">
        <v>613</v>
      </c>
      <c r="H3" s="4"/>
      <c r="J3" s="3" t="s">
        <v>425</v>
      </c>
      <c r="K3" s="14" t="str">
        <f>IFERROR(LOOKUP(2,1/($B$3:$B$1001=J3),$D$3:$D$1001),"")</f>
        <v/>
      </c>
      <c r="L3" s="3" t="str">
        <f ca="1">IF(OR(K3="",K3=0),"CRITICO(MAS 30 DIAS)",IF(TODAY()-K3&gt;=30,"CRITICO(MAS 30 DIAS)",IF(TODAY()-K3&gt;=15,"POR REALIZAR(ALERTA)","AL DIA (MENOS 10 DIAS)")))</f>
        <v>CRITICO(MAS 30 DIAS)</v>
      </c>
      <c r="N3" s="21">
        <f ca="1">+COUNTIF(L3:L189,N2)</f>
        <v>1</v>
      </c>
      <c r="O3" s="20">
        <f ca="1">+COUNTIF(L3:L189,O2)</f>
        <v>0</v>
      </c>
      <c r="P3" s="35">
        <f ca="1">+COUNTIF(L3:L189,P2)</f>
        <v>186</v>
      </c>
      <c r="Q3" s="37" t="s">
        <v>614</v>
      </c>
    </row>
    <row r="4" spans="1:17" x14ac:dyDescent="0.25">
      <c r="A4" s="3" t="str">
        <f>TEXT($D4,"mmm")</f>
        <v>ene</v>
      </c>
      <c r="B4" s="3"/>
      <c r="C4" s="3"/>
      <c r="D4" s="16"/>
      <c r="E4" s="4"/>
      <c r="F4" s="4"/>
      <c r="G4" s="4"/>
      <c r="H4" s="4"/>
      <c r="J4" s="3" t="s">
        <v>461</v>
      </c>
      <c r="K4" s="14" t="str">
        <f t="shared" ref="K4:K67" si="0">IFERROR(LOOKUP(2,1/($B$3:$B$1001=J4),$D$3:$D$1001),"")</f>
        <v/>
      </c>
      <c r="L4" s="3" t="str">
        <f t="shared" ref="L4:L67" ca="1" si="1">IF(OR(K4="",K4=0),"CRITICO(MAS 30 DIAS)",IF(TODAY()-K4&gt;=30,"CRITICO(MAS 30 DIAS)",IF(TODAY()-K4&gt;=15,"POR REALIZAR(ALERTA)","AL DIA (MENOS 10 DIAS)")))</f>
        <v>CRITICO(MAS 30 DIAS)</v>
      </c>
      <c r="Q4" s="37" t="s">
        <v>615</v>
      </c>
    </row>
    <row r="5" spans="1:17" x14ac:dyDescent="0.25">
      <c r="A5" s="3" t="str">
        <f>TEXT($D5,"mmm")</f>
        <v>ene</v>
      </c>
      <c r="B5" s="3"/>
      <c r="C5" s="3"/>
      <c r="D5" s="16"/>
      <c r="E5" s="4"/>
      <c r="F5" s="4"/>
      <c r="G5" s="4"/>
      <c r="H5" s="4"/>
      <c r="J5" s="3" t="s">
        <v>462</v>
      </c>
      <c r="K5" s="14" t="str">
        <f t="shared" si="0"/>
        <v/>
      </c>
      <c r="L5" s="3" t="str">
        <f t="shared" ca="1" si="1"/>
        <v>CRITICO(MAS 30 DIAS)</v>
      </c>
      <c r="Q5" s="37" t="s">
        <v>616</v>
      </c>
    </row>
    <row r="6" spans="1:17" x14ac:dyDescent="0.25">
      <c r="A6" s="3" t="str">
        <f t="shared" ref="A6:A69" si="2">TEXT($D6,"mmm")</f>
        <v>ene</v>
      </c>
      <c r="B6" s="3"/>
      <c r="C6" s="3"/>
      <c r="D6" s="16"/>
      <c r="E6" s="4"/>
      <c r="F6" s="4"/>
      <c r="G6" s="4"/>
      <c r="H6" s="4"/>
      <c r="J6" s="3" t="s">
        <v>463</v>
      </c>
      <c r="K6" s="14" t="str">
        <f t="shared" si="0"/>
        <v/>
      </c>
      <c r="L6" s="3" t="str">
        <f t="shared" ca="1" si="1"/>
        <v>CRITICO(MAS 30 DIAS)</v>
      </c>
      <c r="Q6" s="37" t="s">
        <v>617</v>
      </c>
    </row>
    <row r="7" spans="1:17" x14ac:dyDescent="0.25">
      <c r="A7" s="3" t="str">
        <f t="shared" si="2"/>
        <v>ene</v>
      </c>
      <c r="B7" s="3"/>
      <c r="C7" s="3"/>
      <c r="D7" s="16"/>
      <c r="E7" s="4"/>
      <c r="F7" s="4"/>
      <c r="G7" s="4"/>
      <c r="H7" s="4"/>
      <c r="J7" s="3" t="s">
        <v>232</v>
      </c>
      <c r="K7" s="14" t="str">
        <f t="shared" si="0"/>
        <v/>
      </c>
      <c r="L7" s="3" t="str">
        <f t="shared" ca="1" si="1"/>
        <v>CRITICO(MAS 30 DIAS)</v>
      </c>
    </row>
    <row r="8" spans="1:17" x14ac:dyDescent="0.25">
      <c r="A8" s="3" t="str">
        <f t="shared" si="2"/>
        <v>ene</v>
      </c>
      <c r="B8" s="3"/>
      <c r="C8" s="3"/>
      <c r="D8" s="16"/>
      <c r="E8" s="4"/>
      <c r="F8" s="4"/>
      <c r="G8" s="4"/>
      <c r="H8" s="4"/>
      <c r="J8" s="3" t="s">
        <v>59</v>
      </c>
      <c r="K8" s="14" t="str">
        <f t="shared" si="0"/>
        <v/>
      </c>
      <c r="L8" s="3" t="str">
        <f t="shared" ca="1" si="1"/>
        <v>CRITICO(MAS 30 DIAS)</v>
      </c>
    </row>
    <row r="9" spans="1:17" x14ac:dyDescent="0.25">
      <c r="A9" s="3" t="str">
        <f t="shared" si="2"/>
        <v>ene</v>
      </c>
      <c r="B9" s="3"/>
      <c r="C9" s="3"/>
      <c r="D9" s="16"/>
      <c r="E9" s="4"/>
      <c r="F9" s="4"/>
      <c r="G9" s="4"/>
      <c r="H9" s="4"/>
      <c r="J9" s="3" t="s">
        <v>464</v>
      </c>
      <c r="K9" s="14" t="str">
        <f t="shared" si="0"/>
        <v/>
      </c>
      <c r="L9" s="3" t="str">
        <f t="shared" ca="1" si="1"/>
        <v>CRITICO(MAS 30 DIAS)</v>
      </c>
    </row>
    <row r="10" spans="1:17" x14ac:dyDescent="0.25">
      <c r="A10" s="3" t="str">
        <f t="shared" si="2"/>
        <v>ene</v>
      </c>
      <c r="B10" s="3"/>
      <c r="C10" s="3"/>
      <c r="D10" s="16"/>
      <c r="E10" s="4"/>
      <c r="F10" s="4"/>
      <c r="G10" s="4"/>
      <c r="H10" s="4"/>
      <c r="J10" s="3" t="s">
        <v>465</v>
      </c>
      <c r="K10" s="14" t="str">
        <f t="shared" si="0"/>
        <v/>
      </c>
      <c r="L10" s="3" t="str">
        <f t="shared" ca="1" si="1"/>
        <v>CRITICO(MAS 30 DIAS)</v>
      </c>
    </row>
    <row r="11" spans="1:17" x14ac:dyDescent="0.25">
      <c r="A11" s="3" t="str">
        <f t="shared" si="2"/>
        <v>ene</v>
      </c>
      <c r="B11" s="3"/>
      <c r="C11" s="3"/>
      <c r="D11" s="16"/>
      <c r="E11" s="4"/>
      <c r="F11" s="4"/>
      <c r="G11" s="4"/>
      <c r="H11" s="4"/>
      <c r="J11" s="3" t="s">
        <v>466</v>
      </c>
      <c r="K11" s="14" t="str">
        <f t="shared" si="0"/>
        <v/>
      </c>
      <c r="L11" s="3" t="str">
        <f t="shared" ca="1" si="1"/>
        <v>CRITICO(MAS 30 DIAS)</v>
      </c>
    </row>
    <row r="12" spans="1:17" x14ac:dyDescent="0.25">
      <c r="A12" s="3" t="str">
        <f t="shared" si="2"/>
        <v>ene</v>
      </c>
      <c r="B12" s="3"/>
      <c r="C12" s="3"/>
      <c r="D12" s="16"/>
      <c r="E12" s="4"/>
      <c r="F12" s="4"/>
      <c r="G12" s="4"/>
      <c r="H12" s="4"/>
      <c r="J12" s="3" t="s">
        <v>249</v>
      </c>
      <c r="K12" s="14" t="str">
        <f t="shared" si="0"/>
        <v/>
      </c>
      <c r="L12" s="3" t="str">
        <f t="shared" ca="1" si="1"/>
        <v>CRITICO(MAS 30 DIAS)</v>
      </c>
    </row>
    <row r="13" spans="1:17" x14ac:dyDescent="0.25">
      <c r="A13" s="3" t="str">
        <f t="shared" si="2"/>
        <v>ene</v>
      </c>
      <c r="B13" s="3"/>
      <c r="C13" s="3"/>
      <c r="D13" s="16"/>
      <c r="E13" s="4"/>
      <c r="F13" s="4"/>
      <c r="G13" s="4"/>
      <c r="H13" s="4"/>
      <c r="J13" s="3" t="s">
        <v>242</v>
      </c>
      <c r="K13" s="14" t="str">
        <f t="shared" si="0"/>
        <v/>
      </c>
      <c r="L13" s="3" t="str">
        <f t="shared" ca="1" si="1"/>
        <v>CRITICO(MAS 30 DIAS)</v>
      </c>
    </row>
    <row r="14" spans="1:17" x14ac:dyDescent="0.25">
      <c r="A14" s="3" t="str">
        <f t="shared" si="2"/>
        <v>ene</v>
      </c>
      <c r="B14" s="3"/>
      <c r="C14" s="3"/>
      <c r="D14" s="16"/>
      <c r="E14" s="4"/>
      <c r="F14" s="4"/>
      <c r="G14" s="4"/>
      <c r="H14" s="4"/>
      <c r="J14" s="3" t="s">
        <v>238</v>
      </c>
      <c r="K14" s="14" t="str">
        <f t="shared" si="0"/>
        <v/>
      </c>
      <c r="L14" s="3" t="str">
        <f t="shared" ca="1" si="1"/>
        <v>CRITICO(MAS 30 DIAS)</v>
      </c>
    </row>
    <row r="15" spans="1:17" x14ac:dyDescent="0.25">
      <c r="A15" s="3" t="str">
        <f t="shared" si="2"/>
        <v>ene</v>
      </c>
      <c r="B15" s="3"/>
      <c r="C15" s="3"/>
      <c r="D15" s="16"/>
      <c r="E15" s="4"/>
      <c r="F15" s="4"/>
      <c r="G15" s="4"/>
      <c r="H15" s="4"/>
      <c r="J15" s="3" t="s">
        <v>244</v>
      </c>
      <c r="K15" s="14" t="str">
        <f t="shared" si="0"/>
        <v/>
      </c>
      <c r="L15" s="3" t="str">
        <f t="shared" ca="1" si="1"/>
        <v>CRITICO(MAS 30 DIAS)</v>
      </c>
    </row>
    <row r="16" spans="1:17" x14ac:dyDescent="0.25">
      <c r="A16" s="3" t="str">
        <f t="shared" si="2"/>
        <v>ene</v>
      </c>
      <c r="B16" s="4"/>
      <c r="C16" s="4"/>
      <c r="D16" s="16"/>
      <c r="E16" s="4"/>
      <c r="F16" s="4"/>
      <c r="G16" s="4"/>
      <c r="H16" s="4"/>
      <c r="J16" s="3" t="s">
        <v>467</v>
      </c>
      <c r="K16" s="14" t="str">
        <f t="shared" si="0"/>
        <v/>
      </c>
      <c r="L16" s="3" t="str">
        <f t="shared" ca="1" si="1"/>
        <v>CRITICO(MAS 30 DIAS)</v>
      </c>
    </row>
    <row r="17" spans="1:18" x14ac:dyDescent="0.25">
      <c r="A17" s="3" t="str">
        <f t="shared" si="2"/>
        <v>ene</v>
      </c>
      <c r="B17" s="4"/>
      <c r="C17" s="4"/>
      <c r="D17" s="16"/>
      <c r="E17" s="4"/>
      <c r="F17" s="4"/>
      <c r="G17" s="4"/>
      <c r="H17" s="4"/>
      <c r="J17" s="3" t="s">
        <v>261</v>
      </c>
      <c r="K17" s="14" t="str">
        <f t="shared" si="0"/>
        <v/>
      </c>
      <c r="L17" s="3" t="str">
        <f t="shared" ca="1" si="1"/>
        <v>CRITICO(MAS 30 DIAS)</v>
      </c>
    </row>
    <row r="18" spans="1:18" x14ac:dyDescent="0.25">
      <c r="A18" s="3" t="str">
        <f t="shared" si="2"/>
        <v>ene</v>
      </c>
      <c r="B18" s="4"/>
      <c r="C18" s="4"/>
      <c r="D18" s="16"/>
      <c r="E18" s="4"/>
      <c r="F18" s="4"/>
      <c r="G18" s="4"/>
      <c r="H18" s="4"/>
      <c r="J18" s="3" t="s">
        <v>468</v>
      </c>
      <c r="K18" s="14" t="str">
        <f t="shared" si="0"/>
        <v/>
      </c>
      <c r="L18" s="3" t="str">
        <f t="shared" ca="1" si="1"/>
        <v>CRITICO(MAS 30 DIAS)</v>
      </c>
    </row>
    <row r="19" spans="1:18" x14ac:dyDescent="0.25">
      <c r="A19" s="3" t="str">
        <f t="shared" si="2"/>
        <v>ene</v>
      </c>
      <c r="B19" s="4"/>
      <c r="C19" s="4"/>
      <c r="D19" s="16"/>
      <c r="E19" s="4"/>
      <c r="F19" s="4"/>
      <c r="G19" s="4"/>
      <c r="H19" s="4"/>
      <c r="J19" s="3" t="s">
        <v>130</v>
      </c>
      <c r="K19" s="14" t="str">
        <f t="shared" si="0"/>
        <v/>
      </c>
      <c r="L19" s="3" t="str">
        <f t="shared" ca="1" si="1"/>
        <v>CRITICO(MAS 30 DIAS)</v>
      </c>
    </row>
    <row r="20" spans="1:18" x14ac:dyDescent="0.25">
      <c r="A20" s="3" t="str">
        <f t="shared" si="2"/>
        <v>ene</v>
      </c>
      <c r="B20" s="4"/>
      <c r="C20" s="4"/>
      <c r="D20" s="16"/>
      <c r="E20" s="4"/>
      <c r="F20" s="4"/>
      <c r="G20" s="4"/>
      <c r="H20" s="4"/>
      <c r="J20" s="3" t="s">
        <v>268</v>
      </c>
      <c r="K20" s="14" t="str">
        <f t="shared" si="0"/>
        <v/>
      </c>
      <c r="L20" s="3" t="str">
        <f t="shared" ca="1" si="1"/>
        <v>CRITICO(MAS 30 DIAS)</v>
      </c>
    </row>
    <row r="21" spans="1:18" x14ac:dyDescent="0.25">
      <c r="A21" s="3" t="str">
        <f t="shared" si="2"/>
        <v>ene</v>
      </c>
      <c r="B21" s="4"/>
      <c r="C21" s="4"/>
      <c r="D21" s="16"/>
      <c r="E21" s="4"/>
      <c r="F21" s="4"/>
      <c r="G21" s="4"/>
      <c r="H21" s="4"/>
      <c r="J21" s="3" t="s">
        <v>270</v>
      </c>
      <c r="K21" s="14" t="str">
        <f t="shared" si="0"/>
        <v/>
      </c>
      <c r="L21" s="3" t="str">
        <f t="shared" ca="1" si="1"/>
        <v>CRITICO(MAS 30 DIAS)</v>
      </c>
      <c r="N21" s="42" t="s">
        <v>645</v>
      </c>
      <c r="O21" t="s">
        <v>646</v>
      </c>
    </row>
    <row r="22" spans="1:18" x14ac:dyDescent="0.25">
      <c r="A22" s="3" t="str">
        <f t="shared" si="2"/>
        <v>ene</v>
      </c>
      <c r="B22" s="4"/>
      <c r="C22" s="4"/>
      <c r="D22" s="16"/>
      <c r="E22" s="4"/>
      <c r="F22" s="4"/>
      <c r="G22" s="4"/>
      <c r="H22" s="4"/>
      <c r="J22" s="3" t="s">
        <v>469</v>
      </c>
      <c r="K22" s="14" t="str">
        <f t="shared" si="0"/>
        <v/>
      </c>
      <c r="L22" s="3" t="str">
        <f t="shared" ca="1" si="1"/>
        <v>CRITICO(MAS 30 DIAS)</v>
      </c>
      <c r="N22" s="42" t="s">
        <v>0</v>
      </c>
      <c r="O22" t="s">
        <v>636</v>
      </c>
    </row>
    <row r="23" spans="1:18" x14ac:dyDescent="0.25">
      <c r="A23" s="3" t="str">
        <f t="shared" si="2"/>
        <v>ene</v>
      </c>
      <c r="B23" s="4"/>
      <c r="C23" s="4"/>
      <c r="D23" s="16"/>
      <c r="E23" s="4"/>
      <c r="F23" s="4"/>
      <c r="G23" s="4"/>
      <c r="H23" s="4"/>
      <c r="J23" s="3" t="s">
        <v>5</v>
      </c>
      <c r="K23" s="14" t="str">
        <f t="shared" si="0"/>
        <v/>
      </c>
      <c r="L23" s="3" t="str">
        <f t="shared" ca="1" si="1"/>
        <v>CRITICO(MAS 30 DIAS)</v>
      </c>
    </row>
    <row r="24" spans="1:18" x14ac:dyDescent="0.25">
      <c r="A24" s="3" t="str">
        <f t="shared" si="2"/>
        <v>ene</v>
      </c>
      <c r="B24" s="4"/>
      <c r="C24" s="4"/>
      <c r="D24" s="16"/>
      <c r="E24" s="4"/>
      <c r="F24" s="4"/>
      <c r="G24" s="4"/>
      <c r="H24" s="4"/>
      <c r="J24" s="28" t="s">
        <v>470</v>
      </c>
      <c r="K24" s="14" t="str">
        <f t="shared" si="0"/>
        <v/>
      </c>
      <c r="L24" s="3" t="str">
        <f t="shared" ca="1" si="1"/>
        <v>CRITICO(MAS 30 DIAS)</v>
      </c>
      <c r="N24" s="42" t="s">
        <v>637</v>
      </c>
      <c r="O24" t="s">
        <v>642</v>
      </c>
      <c r="P24" t="s">
        <v>640</v>
      </c>
      <c r="Q24" t="s">
        <v>649</v>
      </c>
      <c r="R24" t="s">
        <v>650</v>
      </c>
    </row>
    <row r="25" spans="1:18" x14ac:dyDescent="0.25">
      <c r="A25" s="3" t="str">
        <f t="shared" si="2"/>
        <v>ene</v>
      </c>
      <c r="B25" s="4"/>
      <c r="C25" s="4"/>
      <c r="D25" s="16"/>
      <c r="E25" s="4"/>
      <c r="F25" s="4"/>
      <c r="G25" s="4"/>
      <c r="H25" s="4"/>
      <c r="J25" s="3" t="s">
        <v>34</v>
      </c>
      <c r="K25" s="14" t="str">
        <f t="shared" si="0"/>
        <v/>
      </c>
      <c r="L25" s="3" t="str">
        <f t="shared" ca="1" si="1"/>
        <v>CRITICO(MAS 30 DIAS)</v>
      </c>
      <c r="N25" s="43" t="s">
        <v>615</v>
      </c>
      <c r="O25">
        <v>100</v>
      </c>
      <c r="P25">
        <v>1</v>
      </c>
      <c r="Q25">
        <v>5</v>
      </c>
      <c r="R25">
        <v>10</v>
      </c>
    </row>
    <row r="26" spans="1:18" x14ac:dyDescent="0.25">
      <c r="A26" s="3" t="str">
        <f t="shared" si="2"/>
        <v>ene</v>
      </c>
      <c r="B26" s="4"/>
      <c r="C26" s="4"/>
      <c r="D26" s="16"/>
      <c r="E26" s="4"/>
      <c r="F26" s="4"/>
      <c r="G26" s="4"/>
      <c r="H26" s="4"/>
      <c r="J26" s="3" t="s">
        <v>35</v>
      </c>
      <c r="K26" s="14" t="str">
        <f t="shared" si="0"/>
        <v/>
      </c>
      <c r="L26" s="3" t="str">
        <f t="shared" ca="1" si="1"/>
        <v>CRITICO(MAS 30 DIAS)</v>
      </c>
      <c r="N26" s="43" t="s">
        <v>639</v>
      </c>
      <c r="O26">
        <v>100</v>
      </c>
      <c r="P26">
        <v>1</v>
      </c>
      <c r="Q26">
        <v>5</v>
      </c>
      <c r="R26">
        <v>10</v>
      </c>
    </row>
    <row r="27" spans="1:18" x14ac:dyDescent="0.25">
      <c r="A27" s="3" t="str">
        <f t="shared" si="2"/>
        <v>ene</v>
      </c>
      <c r="B27" s="4"/>
      <c r="C27" s="4"/>
      <c r="D27" s="16"/>
      <c r="E27" s="4"/>
      <c r="F27" s="4"/>
      <c r="G27" s="4"/>
      <c r="H27" s="4"/>
      <c r="J27" s="3" t="s">
        <v>471</v>
      </c>
      <c r="K27" s="14" t="str">
        <f t="shared" si="0"/>
        <v/>
      </c>
      <c r="L27" s="3" t="str">
        <f t="shared" ca="1" si="1"/>
        <v>CRITICO(MAS 30 DIAS)</v>
      </c>
      <c r="Q27"/>
    </row>
    <row r="28" spans="1:18" x14ac:dyDescent="0.25">
      <c r="A28" s="3" t="str">
        <f t="shared" si="2"/>
        <v>ene</v>
      </c>
      <c r="B28" s="4"/>
      <c r="C28" s="4"/>
      <c r="D28" s="16"/>
      <c r="E28" s="4"/>
      <c r="F28" s="4"/>
      <c r="G28" s="4"/>
      <c r="H28" s="4"/>
      <c r="J28" s="3" t="s">
        <v>43</v>
      </c>
      <c r="K28" s="14" t="str">
        <f t="shared" si="0"/>
        <v/>
      </c>
      <c r="L28" s="3" t="str">
        <f t="shared" ca="1" si="1"/>
        <v>CRITICO(MAS 30 DIAS)</v>
      </c>
      <c r="Q28"/>
    </row>
    <row r="29" spans="1:18" x14ac:dyDescent="0.25">
      <c r="A29" s="3" t="str">
        <f t="shared" si="2"/>
        <v>ene</v>
      </c>
      <c r="B29" s="4"/>
      <c r="C29" s="4"/>
      <c r="D29" s="16"/>
      <c r="E29" s="4"/>
      <c r="F29" s="4"/>
      <c r="G29" s="4"/>
      <c r="H29" s="4"/>
      <c r="J29" s="3" t="s">
        <v>472</v>
      </c>
      <c r="K29" s="14" t="str">
        <f t="shared" si="0"/>
        <v/>
      </c>
      <c r="L29" s="3" t="str">
        <f t="shared" ca="1" si="1"/>
        <v>CRITICO(MAS 30 DIAS)</v>
      </c>
    </row>
    <row r="30" spans="1:18" x14ac:dyDescent="0.25">
      <c r="A30" s="3" t="str">
        <f t="shared" si="2"/>
        <v>ene</v>
      </c>
      <c r="B30" s="4"/>
      <c r="C30" s="4"/>
      <c r="D30" s="16"/>
      <c r="E30" s="4"/>
      <c r="F30" s="4"/>
      <c r="G30" s="4"/>
      <c r="H30" s="4"/>
      <c r="J30" s="3" t="s">
        <v>473</v>
      </c>
      <c r="K30" s="14" t="str">
        <f t="shared" si="0"/>
        <v/>
      </c>
      <c r="L30" s="3" t="str">
        <f t="shared" ca="1" si="1"/>
        <v>CRITICO(MAS 30 DIAS)</v>
      </c>
    </row>
    <row r="31" spans="1:18" x14ac:dyDescent="0.25">
      <c r="A31" s="3" t="str">
        <f t="shared" si="2"/>
        <v>ene</v>
      </c>
      <c r="B31" s="4"/>
      <c r="C31" s="4"/>
      <c r="D31" s="16"/>
      <c r="E31" s="4"/>
      <c r="F31" s="4"/>
      <c r="G31" s="4"/>
      <c r="H31" s="4"/>
      <c r="J31" s="3" t="s">
        <v>297</v>
      </c>
      <c r="K31" s="14" t="str">
        <f t="shared" si="0"/>
        <v/>
      </c>
      <c r="L31" s="3" t="str">
        <f t="shared" ca="1" si="1"/>
        <v>CRITICO(MAS 30 DIAS)</v>
      </c>
    </row>
    <row r="32" spans="1:18" x14ac:dyDescent="0.25">
      <c r="A32" s="3" t="str">
        <f t="shared" si="2"/>
        <v>ene</v>
      </c>
      <c r="B32" s="4"/>
      <c r="C32" s="4"/>
      <c r="D32" s="16"/>
      <c r="E32" s="4"/>
      <c r="F32" s="4"/>
      <c r="G32" s="4"/>
      <c r="H32" s="4"/>
      <c r="J32" s="3" t="s">
        <v>450</v>
      </c>
      <c r="K32" s="14" t="str">
        <f t="shared" si="0"/>
        <v/>
      </c>
      <c r="L32" s="3" t="str">
        <f t="shared" ca="1" si="1"/>
        <v>CRITICO(MAS 30 DIAS)</v>
      </c>
    </row>
    <row r="33" spans="1:12" x14ac:dyDescent="0.25">
      <c r="A33" s="3" t="str">
        <f t="shared" si="2"/>
        <v>ene</v>
      </c>
      <c r="B33" s="4"/>
      <c r="C33" s="4"/>
      <c r="D33" s="16"/>
      <c r="E33" s="4"/>
      <c r="F33" s="4"/>
      <c r="G33" s="4"/>
      <c r="H33" s="4"/>
      <c r="J33" s="3" t="s">
        <v>298</v>
      </c>
      <c r="K33" s="14" t="str">
        <f t="shared" si="0"/>
        <v/>
      </c>
      <c r="L33" s="3" t="str">
        <f t="shared" ca="1" si="1"/>
        <v>CRITICO(MAS 30 DIAS)</v>
      </c>
    </row>
    <row r="34" spans="1:12" x14ac:dyDescent="0.25">
      <c r="A34" s="3" t="str">
        <f t="shared" si="2"/>
        <v>ene</v>
      </c>
      <c r="B34" s="4"/>
      <c r="C34" s="4"/>
      <c r="D34" s="16"/>
      <c r="E34" s="4"/>
      <c r="F34" s="4"/>
      <c r="G34" s="4"/>
      <c r="H34" s="4"/>
      <c r="J34" s="3" t="s">
        <v>239</v>
      </c>
      <c r="K34" s="14" t="str">
        <f t="shared" si="0"/>
        <v/>
      </c>
      <c r="L34" s="3" t="str">
        <f t="shared" ca="1" si="1"/>
        <v>CRITICO(MAS 30 DIAS)</v>
      </c>
    </row>
    <row r="35" spans="1:12" x14ac:dyDescent="0.25">
      <c r="A35" s="3" t="str">
        <f t="shared" si="2"/>
        <v>ene</v>
      </c>
      <c r="B35" s="4"/>
      <c r="C35" s="4"/>
      <c r="D35" s="16"/>
      <c r="E35" s="4"/>
      <c r="F35" s="4"/>
      <c r="G35" s="4"/>
      <c r="H35" s="4"/>
      <c r="J35" s="3" t="s">
        <v>474</v>
      </c>
      <c r="K35" s="14" t="str">
        <f t="shared" si="0"/>
        <v/>
      </c>
      <c r="L35" s="3" t="str">
        <f t="shared" ca="1" si="1"/>
        <v>CRITICO(MAS 30 DIAS)</v>
      </c>
    </row>
    <row r="36" spans="1:12" x14ac:dyDescent="0.25">
      <c r="A36" s="3" t="str">
        <f t="shared" si="2"/>
        <v>ene</v>
      </c>
      <c r="B36" s="4"/>
      <c r="C36" s="4"/>
      <c r="D36" s="16"/>
      <c r="E36" s="4"/>
      <c r="F36" s="4"/>
      <c r="G36" s="4"/>
      <c r="H36" s="4"/>
      <c r="J36" s="3" t="s">
        <v>475</v>
      </c>
      <c r="K36" s="14" t="str">
        <f t="shared" si="0"/>
        <v/>
      </c>
      <c r="L36" s="3" t="str">
        <f t="shared" ca="1" si="1"/>
        <v>CRITICO(MAS 30 DIAS)</v>
      </c>
    </row>
    <row r="37" spans="1:12" x14ac:dyDescent="0.25">
      <c r="A37" s="3" t="str">
        <f t="shared" si="2"/>
        <v>ene</v>
      </c>
      <c r="B37" s="4"/>
      <c r="C37" s="4"/>
      <c r="D37" s="16"/>
      <c r="E37" s="4"/>
      <c r="F37" s="4"/>
      <c r="G37" s="4"/>
      <c r="H37" s="4"/>
      <c r="J37" s="3" t="s">
        <v>224</v>
      </c>
      <c r="K37" s="14" t="str">
        <f t="shared" si="0"/>
        <v/>
      </c>
      <c r="L37" s="3" t="str">
        <f t="shared" ca="1" si="1"/>
        <v>CRITICO(MAS 30 DIAS)</v>
      </c>
    </row>
    <row r="38" spans="1:12" x14ac:dyDescent="0.25">
      <c r="A38" s="3" t="str">
        <f t="shared" si="2"/>
        <v>ene</v>
      </c>
      <c r="B38" s="4"/>
      <c r="C38" s="4"/>
      <c r="D38" s="16"/>
      <c r="E38" s="4"/>
      <c r="F38" s="4"/>
      <c r="G38" s="4"/>
      <c r="H38" s="4"/>
      <c r="J38" s="3" t="s">
        <v>476</v>
      </c>
      <c r="K38" s="14" t="str">
        <f t="shared" si="0"/>
        <v/>
      </c>
      <c r="L38" s="3" t="str">
        <f t="shared" ca="1" si="1"/>
        <v>CRITICO(MAS 30 DIAS)</v>
      </c>
    </row>
    <row r="39" spans="1:12" x14ac:dyDescent="0.25">
      <c r="A39" s="3" t="str">
        <f t="shared" si="2"/>
        <v>ene</v>
      </c>
      <c r="B39" s="4"/>
      <c r="C39" s="4"/>
      <c r="D39" s="16"/>
      <c r="E39" s="4"/>
      <c r="F39" s="4"/>
      <c r="G39" s="4"/>
      <c r="H39" s="4"/>
      <c r="J39" s="3" t="s">
        <v>477</v>
      </c>
      <c r="K39" s="14" t="str">
        <f t="shared" si="0"/>
        <v/>
      </c>
      <c r="L39" s="3" t="str">
        <f t="shared" ca="1" si="1"/>
        <v>CRITICO(MAS 30 DIAS)</v>
      </c>
    </row>
    <row r="40" spans="1:12" x14ac:dyDescent="0.25">
      <c r="A40" s="3" t="str">
        <f t="shared" si="2"/>
        <v>ene</v>
      </c>
      <c r="B40" s="4"/>
      <c r="C40" s="4"/>
      <c r="D40" s="16"/>
      <c r="E40" s="4"/>
      <c r="F40" s="4"/>
      <c r="G40" s="4"/>
      <c r="H40" s="4"/>
      <c r="J40" s="3" t="s">
        <v>478</v>
      </c>
      <c r="K40" s="14" t="str">
        <f t="shared" si="0"/>
        <v/>
      </c>
      <c r="L40" s="3" t="str">
        <f t="shared" ca="1" si="1"/>
        <v>CRITICO(MAS 30 DIAS)</v>
      </c>
    </row>
    <row r="41" spans="1:12" x14ac:dyDescent="0.25">
      <c r="A41" s="3" t="str">
        <f t="shared" si="2"/>
        <v>ene</v>
      </c>
      <c r="B41" s="4"/>
      <c r="C41" s="4"/>
      <c r="D41" s="16"/>
      <c r="E41" s="4"/>
      <c r="F41" s="4"/>
      <c r="G41" s="4"/>
      <c r="H41" s="4"/>
      <c r="J41" s="3" t="s">
        <v>454</v>
      </c>
      <c r="K41" s="14" t="str">
        <f t="shared" si="0"/>
        <v/>
      </c>
      <c r="L41" s="3" t="str">
        <f t="shared" ca="1" si="1"/>
        <v>CRITICO(MAS 30 DIAS)</v>
      </c>
    </row>
    <row r="42" spans="1:12" x14ac:dyDescent="0.25">
      <c r="A42" s="3" t="str">
        <f t="shared" si="2"/>
        <v>ene</v>
      </c>
      <c r="J42" s="3" t="s">
        <v>453</v>
      </c>
      <c r="K42" s="14" t="str">
        <f t="shared" si="0"/>
        <v/>
      </c>
      <c r="L42" s="3" t="str">
        <f t="shared" ca="1" si="1"/>
        <v>CRITICO(MAS 30 DIAS)</v>
      </c>
    </row>
    <row r="43" spans="1:12" x14ac:dyDescent="0.25">
      <c r="A43" s="3" t="str">
        <f t="shared" si="2"/>
        <v>ene</v>
      </c>
      <c r="J43" s="3" t="s">
        <v>247</v>
      </c>
      <c r="K43" s="14" t="str">
        <f t="shared" si="0"/>
        <v/>
      </c>
      <c r="L43" s="3" t="str">
        <f t="shared" ca="1" si="1"/>
        <v>CRITICO(MAS 30 DIAS)</v>
      </c>
    </row>
    <row r="44" spans="1:12" x14ac:dyDescent="0.25">
      <c r="A44" s="3" t="str">
        <f t="shared" si="2"/>
        <v>ene</v>
      </c>
      <c r="J44" s="3" t="s">
        <v>51</v>
      </c>
      <c r="K44" s="14" t="str">
        <f t="shared" si="0"/>
        <v/>
      </c>
      <c r="L44" s="3" t="str">
        <f t="shared" ca="1" si="1"/>
        <v>CRITICO(MAS 30 DIAS)</v>
      </c>
    </row>
    <row r="45" spans="1:12" x14ac:dyDescent="0.25">
      <c r="A45" s="3" t="str">
        <f t="shared" si="2"/>
        <v>ene</v>
      </c>
      <c r="J45" s="3" t="s">
        <v>479</v>
      </c>
      <c r="K45" s="14" t="str">
        <f t="shared" si="0"/>
        <v/>
      </c>
      <c r="L45" s="3" t="str">
        <f t="shared" ca="1" si="1"/>
        <v>CRITICO(MAS 30 DIAS)</v>
      </c>
    </row>
    <row r="46" spans="1:12" x14ac:dyDescent="0.25">
      <c r="A46" s="3" t="str">
        <f t="shared" si="2"/>
        <v>ene</v>
      </c>
      <c r="J46" s="3" t="s">
        <v>480</v>
      </c>
      <c r="K46" s="14" t="str">
        <f t="shared" si="0"/>
        <v/>
      </c>
      <c r="L46" s="3" t="str">
        <f t="shared" ca="1" si="1"/>
        <v>CRITICO(MAS 30 DIAS)</v>
      </c>
    </row>
    <row r="47" spans="1:12" x14ac:dyDescent="0.25">
      <c r="A47" s="3" t="str">
        <f t="shared" si="2"/>
        <v>ene</v>
      </c>
      <c r="J47" s="3" t="s">
        <v>251</v>
      </c>
      <c r="K47" s="14" t="str">
        <f t="shared" si="0"/>
        <v/>
      </c>
      <c r="L47" s="3" t="str">
        <f t="shared" ca="1" si="1"/>
        <v>CRITICO(MAS 30 DIAS)</v>
      </c>
    </row>
    <row r="48" spans="1:12" ht="15.75" x14ac:dyDescent="0.25">
      <c r="A48" s="3" t="str">
        <f t="shared" si="2"/>
        <v>ene</v>
      </c>
      <c r="J48" s="29" t="s">
        <v>481</v>
      </c>
      <c r="K48" s="14" t="str">
        <f t="shared" si="0"/>
        <v/>
      </c>
      <c r="L48" s="3" t="str">
        <f t="shared" ca="1" si="1"/>
        <v>CRITICO(MAS 30 DIAS)</v>
      </c>
    </row>
    <row r="49" spans="1:12" ht="15.75" x14ac:dyDescent="0.25">
      <c r="A49" s="3" t="str">
        <f t="shared" si="2"/>
        <v>ene</v>
      </c>
      <c r="J49" s="29" t="s">
        <v>36</v>
      </c>
      <c r="K49" s="14" t="str">
        <f t="shared" si="0"/>
        <v/>
      </c>
      <c r="L49" s="3" t="str">
        <f t="shared" ca="1" si="1"/>
        <v>CRITICO(MAS 30 DIAS)</v>
      </c>
    </row>
    <row r="50" spans="1:12" ht="15.75" x14ac:dyDescent="0.25">
      <c r="A50" s="3" t="str">
        <f t="shared" si="2"/>
        <v>ene</v>
      </c>
      <c r="J50" s="29" t="s">
        <v>482</v>
      </c>
      <c r="K50" s="14" t="str">
        <f t="shared" si="0"/>
        <v/>
      </c>
      <c r="L50" s="3" t="str">
        <f t="shared" ca="1" si="1"/>
        <v>CRITICO(MAS 30 DIAS)</v>
      </c>
    </row>
    <row r="51" spans="1:12" x14ac:dyDescent="0.25">
      <c r="A51" s="3" t="str">
        <f t="shared" si="2"/>
        <v>ene</v>
      </c>
      <c r="J51" s="3" t="s">
        <v>483</v>
      </c>
      <c r="K51" s="14" t="str">
        <f t="shared" si="0"/>
        <v/>
      </c>
      <c r="L51" s="3" t="str">
        <f t="shared" ca="1" si="1"/>
        <v>CRITICO(MAS 30 DIAS)</v>
      </c>
    </row>
    <row r="52" spans="1:12" x14ac:dyDescent="0.25">
      <c r="A52" s="3" t="str">
        <f t="shared" si="2"/>
        <v>ene</v>
      </c>
      <c r="J52" s="3" t="s">
        <v>484</v>
      </c>
      <c r="K52" s="14" t="str">
        <f t="shared" si="0"/>
        <v/>
      </c>
      <c r="L52" s="3" t="str">
        <f t="shared" ca="1" si="1"/>
        <v>CRITICO(MAS 30 DIAS)</v>
      </c>
    </row>
    <row r="53" spans="1:12" x14ac:dyDescent="0.25">
      <c r="A53" s="3" t="str">
        <f t="shared" si="2"/>
        <v>ene</v>
      </c>
      <c r="J53" s="3" t="s">
        <v>485</v>
      </c>
      <c r="K53" s="14" t="str">
        <f t="shared" si="0"/>
        <v/>
      </c>
      <c r="L53" s="3" t="str">
        <f t="shared" ca="1" si="1"/>
        <v>CRITICO(MAS 30 DIAS)</v>
      </c>
    </row>
    <row r="54" spans="1:12" x14ac:dyDescent="0.25">
      <c r="A54" s="3" t="str">
        <f t="shared" si="2"/>
        <v>ene</v>
      </c>
      <c r="J54" s="3" t="s">
        <v>486</v>
      </c>
      <c r="K54" s="14" t="str">
        <f t="shared" si="0"/>
        <v/>
      </c>
      <c r="L54" s="3" t="str">
        <f t="shared" ca="1" si="1"/>
        <v>CRITICO(MAS 30 DIAS)</v>
      </c>
    </row>
    <row r="55" spans="1:12" x14ac:dyDescent="0.25">
      <c r="A55" s="3" t="str">
        <f t="shared" si="2"/>
        <v>ene</v>
      </c>
      <c r="J55" s="3" t="s">
        <v>487</v>
      </c>
      <c r="K55" s="14" t="str">
        <f t="shared" si="0"/>
        <v/>
      </c>
      <c r="L55" s="3" t="str">
        <f t="shared" ca="1" si="1"/>
        <v>CRITICO(MAS 30 DIAS)</v>
      </c>
    </row>
    <row r="56" spans="1:12" ht="15.75" x14ac:dyDescent="0.25">
      <c r="A56" s="3" t="str">
        <f t="shared" si="2"/>
        <v>ene</v>
      </c>
      <c r="J56" s="29" t="s">
        <v>46</v>
      </c>
      <c r="K56" s="14" t="str">
        <f t="shared" si="0"/>
        <v/>
      </c>
      <c r="L56" s="3" t="str">
        <f t="shared" ca="1" si="1"/>
        <v>CRITICO(MAS 30 DIAS)</v>
      </c>
    </row>
    <row r="57" spans="1:12" ht="15.75" x14ac:dyDescent="0.25">
      <c r="A57" s="3" t="str">
        <f t="shared" si="2"/>
        <v>ene</v>
      </c>
      <c r="J57" s="29" t="s">
        <v>488</v>
      </c>
      <c r="K57" s="14" t="str">
        <f t="shared" si="0"/>
        <v/>
      </c>
      <c r="L57" s="3" t="str">
        <f t="shared" ca="1" si="1"/>
        <v>CRITICO(MAS 30 DIAS)</v>
      </c>
    </row>
    <row r="58" spans="1:12" ht="15.75" x14ac:dyDescent="0.25">
      <c r="A58" s="3" t="str">
        <f t="shared" si="2"/>
        <v>ene</v>
      </c>
      <c r="J58" s="29" t="s">
        <v>225</v>
      </c>
      <c r="K58" s="14" t="str">
        <f t="shared" si="0"/>
        <v/>
      </c>
      <c r="L58" s="3" t="str">
        <f t="shared" ca="1" si="1"/>
        <v>CRITICO(MAS 30 DIAS)</v>
      </c>
    </row>
    <row r="59" spans="1:12" ht="15.75" x14ac:dyDescent="0.25">
      <c r="A59" s="3" t="str">
        <f t="shared" si="2"/>
        <v>ene</v>
      </c>
      <c r="J59" s="29" t="s">
        <v>229</v>
      </c>
      <c r="K59" s="14" t="str">
        <f t="shared" si="0"/>
        <v/>
      </c>
      <c r="L59" s="3" t="str">
        <f t="shared" ca="1" si="1"/>
        <v>CRITICO(MAS 30 DIAS)</v>
      </c>
    </row>
    <row r="60" spans="1:12" ht="15.75" x14ac:dyDescent="0.25">
      <c r="A60" s="3" t="str">
        <f t="shared" si="2"/>
        <v>ene</v>
      </c>
      <c r="J60" s="29" t="s">
        <v>489</v>
      </c>
      <c r="K60" s="14" t="str">
        <f t="shared" si="0"/>
        <v/>
      </c>
      <c r="L60" s="3" t="str">
        <f t="shared" ca="1" si="1"/>
        <v>CRITICO(MAS 30 DIAS)</v>
      </c>
    </row>
    <row r="61" spans="1:12" ht="15.75" x14ac:dyDescent="0.25">
      <c r="A61" s="3" t="str">
        <f t="shared" si="2"/>
        <v>ene</v>
      </c>
      <c r="J61" s="29" t="s">
        <v>133</v>
      </c>
      <c r="K61" s="14" t="str">
        <f t="shared" si="0"/>
        <v/>
      </c>
      <c r="L61" s="3" t="str">
        <f t="shared" ca="1" si="1"/>
        <v>CRITICO(MAS 30 DIAS)</v>
      </c>
    </row>
    <row r="62" spans="1:12" ht="15.75" x14ac:dyDescent="0.25">
      <c r="A62" s="3" t="str">
        <f t="shared" si="2"/>
        <v>ene</v>
      </c>
      <c r="J62" s="29" t="s">
        <v>490</v>
      </c>
      <c r="K62" s="14" t="str">
        <f t="shared" si="0"/>
        <v/>
      </c>
      <c r="L62" s="3" t="str">
        <f t="shared" ca="1" si="1"/>
        <v>CRITICO(MAS 30 DIAS)</v>
      </c>
    </row>
    <row r="63" spans="1:12" ht="15.75" x14ac:dyDescent="0.25">
      <c r="A63" s="3" t="str">
        <f t="shared" si="2"/>
        <v>ene</v>
      </c>
      <c r="J63" s="29" t="s">
        <v>491</v>
      </c>
      <c r="K63" s="14" t="str">
        <f t="shared" si="0"/>
        <v/>
      </c>
      <c r="L63" s="3" t="str">
        <f t="shared" ca="1" si="1"/>
        <v>CRITICO(MAS 30 DIAS)</v>
      </c>
    </row>
    <row r="64" spans="1:12" ht="15.75" x14ac:dyDescent="0.25">
      <c r="A64" s="3" t="str">
        <f t="shared" si="2"/>
        <v>ene</v>
      </c>
      <c r="J64" s="29" t="s">
        <v>492</v>
      </c>
      <c r="K64" s="14" t="str">
        <f t="shared" si="0"/>
        <v/>
      </c>
      <c r="L64" s="3" t="str">
        <f t="shared" ca="1" si="1"/>
        <v>CRITICO(MAS 30 DIAS)</v>
      </c>
    </row>
    <row r="65" spans="1:12" ht="15.75" x14ac:dyDescent="0.25">
      <c r="A65" s="3" t="str">
        <f t="shared" si="2"/>
        <v>ene</v>
      </c>
      <c r="J65" s="29" t="s">
        <v>240</v>
      </c>
      <c r="K65" s="14" t="str">
        <f t="shared" si="0"/>
        <v/>
      </c>
      <c r="L65" s="3" t="str">
        <f t="shared" ca="1" si="1"/>
        <v>CRITICO(MAS 30 DIAS)</v>
      </c>
    </row>
    <row r="66" spans="1:12" ht="15.75" x14ac:dyDescent="0.25">
      <c r="A66" s="3" t="str">
        <f t="shared" si="2"/>
        <v>ene</v>
      </c>
      <c r="J66" s="29" t="s">
        <v>493</v>
      </c>
      <c r="K66" s="14" t="str">
        <f t="shared" si="0"/>
        <v/>
      </c>
      <c r="L66" s="3" t="str">
        <f t="shared" ca="1" si="1"/>
        <v>CRITICO(MAS 30 DIAS)</v>
      </c>
    </row>
    <row r="67" spans="1:12" ht="15.75" x14ac:dyDescent="0.25">
      <c r="A67" s="3" t="str">
        <f t="shared" si="2"/>
        <v>ene</v>
      </c>
      <c r="J67" s="29" t="s">
        <v>158</v>
      </c>
      <c r="K67" s="14" t="str">
        <f t="shared" si="0"/>
        <v/>
      </c>
      <c r="L67" s="3" t="str">
        <f t="shared" ca="1" si="1"/>
        <v>CRITICO(MAS 30 DIAS)</v>
      </c>
    </row>
    <row r="68" spans="1:12" ht="15.75" x14ac:dyDescent="0.25">
      <c r="A68" s="3" t="str">
        <f t="shared" si="2"/>
        <v>ene</v>
      </c>
      <c r="J68" s="29" t="s">
        <v>247</v>
      </c>
      <c r="K68" s="14" t="str">
        <f t="shared" ref="K68:K131" si="3">IFERROR(LOOKUP(2,1/($B$3:$B$1001=J68),$D$3:$D$1001),"")</f>
        <v/>
      </c>
      <c r="L68" s="3" t="str">
        <f t="shared" ref="L68:L131" ca="1" si="4">IF(OR(K68="",K68=0),"CRITICO(MAS 30 DIAS)",IF(TODAY()-K68&gt;=30,"CRITICO(MAS 30 DIAS)",IF(TODAY()-K68&gt;=15,"POR REALIZAR(ALERTA)","AL DIA (MENOS 10 DIAS)")))</f>
        <v>CRITICO(MAS 30 DIAS)</v>
      </c>
    </row>
    <row r="69" spans="1:12" ht="15.75" x14ac:dyDescent="0.25">
      <c r="A69" s="3" t="str">
        <f t="shared" si="2"/>
        <v>ene</v>
      </c>
      <c r="J69" s="29" t="s">
        <v>274</v>
      </c>
      <c r="K69" s="14" t="str">
        <f t="shared" si="3"/>
        <v/>
      </c>
      <c r="L69" s="3" t="str">
        <f t="shared" ca="1" si="4"/>
        <v>CRITICO(MAS 30 DIAS)</v>
      </c>
    </row>
    <row r="70" spans="1:12" ht="15.75" x14ac:dyDescent="0.25">
      <c r="A70" s="3" t="str">
        <f t="shared" ref="A70:A133" si="5">TEXT($D70,"mmm")</f>
        <v>ene</v>
      </c>
      <c r="J70" s="29" t="s">
        <v>271</v>
      </c>
      <c r="K70" s="14" t="str">
        <f t="shared" si="3"/>
        <v/>
      </c>
      <c r="L70" s="3" t="str">
        <f t="shared" ca="1" si="4"/>
        <v>CRITICO(MAS 30 DIAS)</v>
      </c>
    </row>
    <row r="71" spans="1:12" ht="15.75" x14ac:dyDescent="0.25">
      <c r="A71" s="3" t="str">
        <f t="shared" si="5"/>
        <v>ene</v>
      </c>
      <c r="J71" s="29" t="s">
        <v>257</v>
      </c>
      <c r="K71" s="14" t="str">
        <f t="shared" si="3"/>
        <v/>
      </c>
      <c r="L71" s="3" t="str">
        <f t="shared" ca="1" si="4"/>
        <v>CRITICO(MAS 30 DIAS)</v>
      </c>
    </row>
    <row r="72" spans="1:12" ht="15.75" x14ac:dyDescent="0.25">
      <c r="A72" s="3" t="str">
        <f t="shared" si="5"/>
        <v>ene</v>
      </c>
      <c r="J72" s="29" t="s">
        <v>282</v>
      </c>
      <c r="K72" s="14" t="str">
        <f t="shared" si="3"/>
        <v/>
      </c>
      <c r="L72" s="3" t="str">
        <f t="shared" ca="1" si="4"/>
        <v>CRITICO(MAS 30 DIAS)</v>
      </c>
    </row>
    <row r="73" spans="1:12" x14ac:dyDescent="0.25">
      <c r="A73" s="3" t="str">
        <f t="shared" si="5"/>
        <v>ene</v>
      </c>
      <c r="J73" s="28" t="s">
        <v>494</v>
      </c>
      <c r="K73" s="14" t="str">
        <f t="shared" si="3"/>
        <v/>
      </c>
      <c r="L73" s="3" t="str">
        <f t="shared" ca="1" si="4"/>
        <v>CRITICO(MAS 30 DIAS)</v>
      </c>
    </row>
    <row r="74" spans="1:12" ht="15.75" x14ac:dyDescent="0.25">
      <c r="A74" s="3" t="str">
        <f t="shared" si="5"/>
        <v>ene</v>
      </c>
      <c r="J74" s="29" t="s">
        <v>284</v>
      </c>
      <c r="K74" s="14" t="str">
        <f t="shared" si="3"/>
        <v/>
      </c>
      <c r="L74" s="3" t="str">
        <f t="shared" ca="1" si="4"/>
        <v>CRITICO(MAS 30 DIAS)</v>
      </c>
    </row>
    <row r="75" spans="1:12" ht="15.75" x14ac:dyDescent="0.25">
      <c r="A75" s="3" t="str">
        <f t="shared" si="5"/>
        <v>ene</v>
      </c>
      <c r="J75" s="29" t="s">
        <v>495</v>
      </c>
      <c r="K75" s="14" t="str">
        <f t="shared" si="3"/>
        <v/>
      </c>
      <c r="L75" s="3" t="str">
        <f t="shared" ca="1" si="4"/>
        <v>CRITICO(MAS 30 DIAS)</v>
      </c>
    </row>
    <row r="76" spans="1:12" ht="15.75" x14ac:dyDescent="0.25">
      <c r="A76" s="3" t="str">
        <f t="shared" si="5"/>
        <v>ene</v>
      </c>
      <c r="J76" s="29" t="s">
        <v>272</v>
      </c>
      <c r="K76" s="14" t="str">
        <f t="shared" si="3"/>
        <v/>
      </c>
      <c r="L76" s="3" t="str">
        <f t="shared" ca="1" si="4"/>
        <v>CRITICO(MAS 30 DIAS)</v>
      </c>
    </row>
    <row r="77" spans="1:12" ht="15.75" x14ac:dyDescent="0.25">
      <c r="A77" s="3" t="str">
        <f t="shared" si="5"/>
        <v>ene</v>
      </c>
      <c r="J77" s="29" t="s">
        <v>496</v>
      </c>
      <c r="K77" s="14" t="str">
        <f t="shared" si="3"/>
        <v/>
      </c>
      <c r="L77" s="3" t="str">
        <f t="shared" ca="1" si="4"/>
        <v>CRITICO(MAS 30 DIAS)</v>
      </c>
    </row>
    <row r="78" spans="1:12" ht="15.75" x14ac:dyDescent="0.25">
      <c r="A78" s="3" t="str">
        <f t="shared" si="5"/>
        <v>ene</v>
      </c>
      <c r="J78" s="29" t="s">
        <v>497</v>
      </c>
      <c r="K78" s="14" t="str">
        <f t="shared" si="3"/>
        <v/>
      </c>
      <c r="L78" s="3" t="str">
        <f t="shared" ca="1" si="4"/>
        <v>CRITICO(MAS 30 DIAS)</v>
      </c>
    </row>
    <row r="79" spans="1:12" ht="15.75" x14ac:dyDescent="0.25">
      <c r="A79" s="3" t="str">
        <f t="shared" si="5"/>
        <v>ene</v>
      </c>
      <c r="J79" s="29" t="s">
        <v>498</v>
      </c>
      <c r="K79" s="14" t="str">
        <f t="shared" si="3"/>
        <v/>
      </c>
      <c r="L79" s="3" t="str">
        <f t="shared" ca="1" si="4"/>
        <v>CRITICO(MAS 30 DIAS)</v>
      </c>
    </row>
    <row r="80" spans="1:12" ht="15.75" x14ac:dyDescent="0.25">
      <c r="A80" s="3" t="str">
        <f t="shared" si="5"/>
        <v>ene</v>
      </c>
      <c r="J80" s="29" t="s">
        <v>499</v>
      </c>
      <c r="K80" s="14" t="str">
        <f t="shared" si="3"/>
        <v/>
      </c>
      <c r="L80" s="3" t="str">
        <f t="shared" ca="1" si="4"/>
        <v>CRITICO(MAS 30 DIAS)</v>
      </c>
    </row>
    <row r="81" spans="1:12" ht="15.75" x14ac:dyDescent="0.25">
      <c r="A81" s="3" t="str">
        <f t="shared" si="5"/>
        <v>ene</v>
      </c>
      <c r="J81" s="29" t="s">
        <v>290</v>
      </c>
      <c r="K81" s="14" t="str">
        <f t="shared" si="3"/>
        <v/>
      </c>
      <c r="L81" s="3" t="str">
        <f t="shared" ca="1" si="4"/>
        <v>CRITICO(MAS 30 DIAS)</v>
      </c>
    </row>
    <row r="82" spans="1:12" ht="15.75" x14ac:dyDescent="0.25">
      <c r="A82" s="3" t="str">
        <f t="shared" si="5"/>
        <v>ene</v>
      </c>
      <c r="J82" s="29" t="s">
        <v>279</v>
      </c>
      <c r="K82" s="14" t="str">
        <f t="shared" si="3"/>
        <v/>
      </c>
      <c r="L82" s="3" t="str">
        <f t="shared" ca="1" si="4"/>
        <v>CRITICO(MAS 30 DIAS)</v>
      </c>
    </row>
    <row r="83" spans="1:12" x14ac:dyDescent="0.25">
      <c r="A83" s="3" t="str">
        <f t="shared" si="5"/>
        <v>ene</v>
      </c>
      <c r="J83" s="2" t="s">
        <v>302</v>
      </c>
      <c r="K83" s="14" t="str">
        <f t="shared" si="3"/>
        <v/>
      </c>
      <c r="L83" s="3" t="str">
        <f t="shared" ca="1" si="4"/>
        <v>CRITICO(MAS 30 DIAS)</v>
      </c>
    </row>
    <row r="84" spans="1:12" x14ac:dyDescent="0.25">
      <c r="A84" s="3" t="str">
        <f t="shared" si="5"/>
        <v>ene</v>
      </c>
      <c r="J84" s="3" t="s">
        <v>500</v>
      </c>
      <c r="K84" s="14" t="str">
        <f t="shared" si="3"/>
        <v/>
      </c>
      <c r="L84" s="3" t="str">
        <f t="shared" ca="1" si="4"/>
        <v>CRITICO(MAS 30 DIAS)</v>
      </c>
    </row>
    <row r="85" spans="1:12" x14ac:dyDescent="0.25">
      <c r="A85" s="3" t="str">
        <f t="shared" si="5"/>
        <v>ene</v>
      </c>
      <c r="J85" s="3" t="s">
        <v>304</v>
      </c>
      <c r="K85" s="14" t="str">
        <f t="shared" si="3"/>
        <v/>
      </c>
      <c r="L85" s="3" t="str">
        <f t="shared" ca="1" si="4"/>
        <v>CRITICO(MAS 30 DIAS)</v>
      </c>
    </row>
    <row r="86" spans="1:12" x14ac:dyDescent="0.25">
      <c r="A86" s="3" t="str">
        <f t="shared" si="5"/>
        <v>ene</v>
      </c>
      <c r="J86" s="3" t="s">
        <v>501</v>
      </c>
      <c r="K86" s="14" t="str">
        <f t="shared" si="3"/>
        <v/>
      </c>
      <c r="L86" s="3" t="str">
        <f t="shared" ca="1" si="4"/>
        <v>CRITICO(MAS 30 DIAS)</v>
      </c>
    </row>
    <row r="87" spans="1:12" x14ac:dyDescent="0.25">
      <c r="A87" s="3" t="str">
        <f t="shared" si="5"/>
        <v>ene</v>
      </c>
      <c r="J87" s="3" t="s">
        <v>502</v>
      </c>
      <c r="K87" s="14" t="str">
        <f t="shared" si="3"/>
        <v/>
      </c>
      <c r="L87" s="3" t="str">
        <f t="shared" ca="1" si="4"/>
        <v>CRITICO(MAS 30 DIAS)</v>
      </c>
    </row>
    <row r="88" spans="1:12" x14ac:dyDescent="0.25">
      <c r="A88" s="3" t="str">
        <f t="shared" si="5"/>
        <v>ene</v>
      </c>
      <c r="J88" s="3" t="s">
        <v>503</v>
      </c>
      <c r="K88" s="14" t="str">
        <f t="shared" si="3"/>
        <v/>
      </c>
      <c r="L88" s="3" t="str">
        <f t="shared" ca="1" si="4"/>
        <v>CRITICO(MAS 30 DIAS)</v>
      </c>
    </row>
    <row r="89" spans="1:12" x14ac:dyDescent="0.25">
      <c r="A89" s="3" t="str">
        <f t="shared" si="5"/>
        <v>ene</v>
      </c>
      <c r="J89" s="3" t="s">
        <v>504</v>
      </c>
      <c r="K89" s="14" t="str">
        <f t="shared" si="3"/>
        <v/>
      </c>
      <c r="L89" s="3" t="str">
        <f t="shared" ca="1" si="4"/>
        <v>CRITICO(MAS 30 DIAS)</v>
      </c>
    </row>
    <row r="90" spans="1:12" x14ac:dyDescent="0.25">
      <c r="A90" s="3" t="str">
        <f t="shared" si="5"/>
        <v>ene</v>
      </c>
      <c r="J90" s="3" t="s">
        <v>505</v>
      </c>
      <c r="K90" s="14" t="str">
        <f t="shared" si="3"/>
        <v/>
      </c>
      <c r="L90" s="3" t="str">
        <f t="shared" ca="1" si="4"/>
        <v>CRITICO(MAS 30 DIAS)</v>
      </c>
    </row>
    <row r="91" spans="1:12" x14ac:dyDescent="0.25">
      <c r="A91" s="3" t="str">
        <f t="shared" si="5"/>
        <v>ene</v>
      </c>
      <c r="J91" s="3" t="s">
        <v>506</v>
      </c>
      <c r="K91" s="14" t="str">
        <f t="shared" si="3"/>
        <v/>
      </c>
      <c r="L91" s="3" t="str">
        <f t="shared" ca="1" si="4"/>
        <v>CRITICO(MAS 30 DIAS)</v>
      </c>
    </row>
    <row r="92" spans="1:12" x14ac:dyDescent="0.25">
      <c r="A92" s="3" t="str">
        <f t="shared" si="5"/>
        <v>ene</v>
      </c>
      <c r="J92" s="3" t="s">
        <v>507</v>
      </c>
      <c r="K92" s="14" t="str">
        <f t="shared" si="3"/>
        <v/>
      </c>
      <c r="L92" s="3" t="str">
        <f t="shared" ca="1" si="4"/>
        <v>CRITICO(MAS 30 DIAS)</v>
      </c>
    </row>
    <row r="93" spans="1:12" ht="15.75" x14ac:dyDescent="0.25">
      <c r="A93" s="3" t="str">
        <f t="shared" si="5"/>
        <v>ene</v>
      </c>
      <c r="J93" s="29" t="s">
        <v>278</v>
      </c>
      <c r="K93" s="14" t="str">
        <f t="shared" si="3"/>
        <v/>
      </c>
      <c r="L93" s="3" t="str">
        <f t="shared" ca="1" si="4"/>
        <v>CRITICO(MAS 30 DIAS)</v>
      </c>
    </row>
    <row r="94" spans="1:12" ht="15.75" x14ac:dyDescent="0.25">
      <c r="A94" s="3" t="str">
        <f t="shared" si="5"/>
        <v>ene</v>
      </c>
      <c r="J94" s="29" t="s">
        <v>259</v>
      </c>
      <c r="K94" s="14" t="str">
        <f t="shared" si="3"/>
        <v/>
      </c>
      <c r="L94" s="3" t="str">
        <f t="shared" ca="1" si="4"/>
        <v>CRITICO(MAS 30 DIAS)</v>
      </c>
    </row>
    <row r="95" spans="1:12" ht="15.75" x14ac:dyDescent="0.25">
      <c r="A95" s="3" t="str">
        <f t="shared" si="5"/>
        <v>ene</v>
      </c>
      <c r="J95" s="29" t="s">
        <v>508</v>
      </c>
      <c r="K95" s="14" t="str">
        <f t="shared" si="3"/>
        <v/>
      </c>
      <c r="L95" s="3" t="str">
        <f t="shared" ca="1" si="4"/>
        <v>CRITICO(MAS 30 DIAS)</v>
      </c>
    </row>
    <row r="96" spans="1:12" ht="15.75" x14ac:dyDescent="0.25">
      <c r="A96" s="3" t="str">
        <f t="shared" si="5"/>
        <v>ene</v>
      </c>
      <c r="J96" s="29" t="s">
        <v>255</v>
      </c>
      <c r="K96" s="14" t="str">
        <f t="shared" si="3"/>
        <v/>
      </c>
      <c r="L96" s="3" t="str">
        <f t="shared" ca="1" si="4"/>
        <v>CRITICO(MAS 30 DIAS)</v>
      </c>
    </row>
    <row r="97" spans="1:12" ht="15.75" x14ac:dyDescent="0.25">
      <c r="A97" s="3" t="str">
        <f t="shared" si="5"/>
        <v>ene</v>
      </c>
      <c r="J97" s="29" t="s">
        <v>509</v>
      </c>
      <c r="K97" s="14" t="str">
        <f t="shared" si="3"/>
        <v/>
      </c>
      <c r="L97" s="3" t="str">
        <f t="shared" ca="1" si="4"/>
        <v>CRITICO(MAS 30 DIAS)</v>
      </c>
    </row>
    <row r="98" spans="1:12" ht="15.75" x14ac:dyDescent="0.25">
      <c r="A98" s="3" t="str">
        <f t="shared" si="5"/>
        <v>ene</v>
      </c>
      <c r="J98" s="29" t="s">
        <v>510</v>
      </c>
      <c r="K98" s="14" t="str">
        <f t="shared" si="3"/>
        <v/>
      </c>
      <c r="L98" s="3" t="str">
        <f t="shared" ca="1" si="4"/>
        <v>CRITICO(MAS 30 DIAS)</v>
      </c>
    </row>
    <row r="99" spans="1:12" ht="15.75" x14ac:dyDescent="0.25">
      <c r="A99" s="3" t="str">
        <f t="shared" si="5"/>
        <v>ene</v>
      </c>
      <c r="J99" s="29" t="s">
        <v>511</v>
      </c>
      <c r="K99" s="14" t="str">
        <f t="shared" si="3"/>
        <v/>
      </c>
      <c r="L99" s="3" t="str">
        <f t="shared" ca="1" si="4"/>
        <v>CRITICO(MAS 30 DIAS)</v>
      </c>
    </row>
    <row r="100" spans="1:12" ht="15.75" x14ac:dyDescent="0.25">
      <c r="A100" s="3" t="str">
        <f t="shared" si="5"/>
        <v>ene</v>
      </c>
      <c r="J100" s="29" t="s">
        <v>512</v>
      </c>
      <c r="K100" s="14" t="str">
        <f t="shared" si="3"/>
        <v/>
      </c>
      <c r="L100" s="3" t="str">
        <f t="shared" ca="1" si="4"/>
        <v>CRITICO(MAS 30 DIAS)</v>
      </c>
    </row>
    <row r="101" spans="1:12" ht="15.75" x14ac:dyDescent="0.25">
      <c r="A101" s="3" t="str">
        <f t="shared" si="5"/>
        <v>ene</v>
      </c>
      <c r="J101" s="29" t="s">
        <v>308</v>
      </c>
      <c r="K101" s="14" t="str">
        <f t="shared" si="3"/>
        <v/>
      </c>
      <c r="L101" s="3" t="str">
        <f t="shared" ca="1" si="4"/>
        <v>CRITICO(MAS 30 DIAS)</v>
      </c>
    </row>
    <row r="102" spans="1:12" ht="15.75" x14ac:dyDescent="0.25">
      <c r="A102" s="3" t="str">
        <f t="shared" si="5"/>
        <v>ene</v>
      </c>
      <c r="J102" s="29" t="s">
        <v>513</v>
      </c>
      <c r="K102" s="14" t="str">
        <f t="shared" si="3"/>
        <v/>
      </c>
      <c r="L102" s="3" t="str">
        <f t="shared" ca="1" si="4"/>
        <v>CRITICO(MAS 30 DIAS)</v>
      </c>
    </row>
    <row r="103" spans="1:12" x14ac:dyDescent="0.25">
      <c r="A103" s="3" t="str">
        <f t="shared" si="5"/>
        <v>ene</v>
      </c>
      <c r="J103" s="28" t="s">
        <v>514</v>
      </c>
      <c r="K103" s="14" t="str">
        <f t="shared" si="3"/>
        <v/>
      </c>
      <c r="L103" s="3" t="str">
        <f t="shared" ca="1" si="4"/>
        <v>CRITICO(MAS 30 DIAS)</v>
      </c>
    </row>
    <row r="104" spans="1:12" ht="15.75" x14ac:dyDescent="0.25">
      <c r="A104" s="3" t="str">
        <f t="shared" si="5"/>
        <v>ene</v>
      </c>
      <c r="J104" s="29" t="s">
        <v>265</v>
      </c>
      <c r="K104" s="14" t="str">
        <f t="shared" si="3"/>
        <v/>
      </c>
      <c r="L104" s="3" t="str">
        <f t="shared" ca="1" si="4"/>
        <v>CRITICO(MAS 30 DIAS)</v>
      </c>
    </row>
    <row r="105" spans="1:12" ht="15.75" x14ac:dyDescent="0.25">
      <c r="A105" s="3" t="str">
        <f t="shared" si="5"/>
        <v>ene</v>
      </c>
      <c r="J105" s="29" t="s">
        <v>276</v>
      </c>
      <c r="K105" s="14" t="str">
        <f t="shared" si="3"/>
        <v/>
      </c>
      <c r="L105" s="3" t="str">
        <f t="shared" ca="1" si="4"/>
        <v>CRITICO(MAS 30 DIAS)</v>
      </c>
    </row>
    <row r="106" spans="1:12" ht="15.75" x14ac:dyDescent="0.25">
      <c r="A106" s="3" t="str">
        <f t="shared" si="5"/>
        <v>ene</v>
      </c>
      <c r="J106" s="29" t="s">
        <v>515</v>
      </c>
      <c r="K106" s="14" t="str">
        <f t="shared" si="3"/>
        <v/>
      </c>
      <c r="L106" s="3" t="str">
        <f t="shared" ca="1" si="4"/>
        <v>CRITICO(MAS 30 DIAS)</v>
      </c>
    </row>
    <row r="107" spans="1:12" ht="15.75" x14ac:dyDescent="0.25">
      <c r="A107" s="3" t="str">
        <f t="shared" si="5"/>
        <v>ene</v>
      </c>
      <c r="J107" s="29" t="s">
        <v>516</v>
      </c>
      <c r="K107" s="14" t="str">
        <f t="shared" si="3"/>
        <v/>
      </c>
      <c r="L107" s="3" t="str">
        <f t="shared" ca="1" si="4"/>
        <v>CRITICO(MAS 30 DIAS)</v>
      </c>
    </row>
    <row r="108" spans="1:12" ht="15.75" x14ac:dyDescent="0.25">
      <c r="A108" s="3" t="str">
        <f t="shared" si="5"/>
        <v>ene</v>
      </c>
      <c r="J108" s="29" t="s">
        <v>517</v>
      </c>
      <c r="K108" s="14" t="str">
        <f t="shared" si="3"/>
        <v/>
      </c>
      <c r="L108" s="3" t="str">
        <f t="shared" ca="1" si="4"/>
        <v>CRITICO(MAS 30 DIAS)</v>
      </c>
    </row>
    <row r="109" spans="1:12" ht="15.75" x14ac:dyDescent="0.25">
      <c r="A109" s="3" t="str">
        <f t="shared" si="5"/>
        <v>ene</v>
      </c>
      <c r="J109" s="29" t="s">
        <v>306</v>
      </c>
      <c r="K109" s="14" t="str">
        <f t="shared" si="3"/>
        <v/>
      </c>
      <c r="L109" s="3" t="str">
        <f t="shared" ca="1" si="4"/>
        <v>CRITICO(MAS 30 DIAS)</v>
      </c>
    </row>
    <row r="110" spans="1:12" ht="15.75" x14ac:dyDescent="0.25">
      <c r="A110" s="3" t="str">
        <f t="shared" si="5"/>
        <v>ene</v>
      </c>
      <c r="J110" s="29" t="s">
        <v>292</v>
      </c>
      <c r="K110" s="14" t="str">
        <f t="shared" si="3"/>
        <v/>
      </c>
      <c r="L110" s="3" t="str">
        <f t="shared" ca="1" si="4"/>
        <v>CRITICO(MAS 30 DIAS)</v>
      </c>
    </row>
    <row r="111" spans="1:12" ht="15.75" x14ac:dyDescent="0.25">
      <c r="A111" s="3" t="str">
        <f t="shared" si="5"/>
        <v>ene</v>
      </c>
      <c r="J111" s="29" t="s">
        <v>307</v>
      </c>
      <c r="K111" s="14" t="str">
        <f t="shared" si="3"/>
        <v/>
      </c>
      <c r="L111" s="3" t="str">
        <f t="shared" ca="1" si="4"/>
        <v>CRITICO(MAS 30 DIAS)</v>
      </c>
    </row>
    <row r="112" spans="1:12" ht="15.75" x14ac:dyDescent="0.25">
      <c r="A112" s="3" t="str">
        <f t="shared" si="5"/>
        <v>ene</v>
      </c>
      <c r="J112" s="29" t="s">
        <v>518</v>
      </c>
      <c r="K112" s="14" t="str">
        <f t="shared" si="3"/>
        <v/>
      </c>
      <c r="L112" s="3" t="str">
        <f t="shared" ca="1" si="4"/>
        <v>CRITICO(MAS 30 DIAS)</v>
      </c>
    </row>
    <row r="113" spans="1:12" ht="15.75" x14ac:dyDescent="0.25">
      <c r="A113" s="3" t="str">
        <f t="shared" si="5"/>
        <v>ene</v>
      </c>
      <c r="J113" s="29" t="s">
        <v>519</v>
      </c>
      <c r="K113" s="14" t="str">
        <f t="shared" si="3"/>
        <v/>
      </c>
      <c r="L113" s="3" t="str">
        <f t="shared" ca="1" si="4"/>
        <v>CRITICO(MAS 30 DIAS)</v>
      </c>
    </row>
    <row r="114" spans="1:12" x14ac:dyDescent="0.25">
      <c r="A114" s="3" t="str">
        <f t="shared" si="5"/>
        <v>ene</v>
      </c>
      <c r="J114" s="28" t="s">
        <v>520</v>
      </c>
      <c r="K114" s="14" t="str">
        <f t="shared" si="3"/>
        <v/>
      </c>
      <c r="L114" s="3" t="str">
        <f t="shared" ca="1" si="4"/>
        <v>CRITICO(MAS 30 DIAS)</v>
      </c>
    </row>
    <row r="115" spans="1:12" ht="15.75" x14ac:dyDescent="0.25">
      <c r="A115" s="3" t="str">
        <f t="shared" si="5"/>
        <v>ene</v>
      </c>
      <c r="J115" s="29" t="s">
        <v>309</v>
      </c>
      <c r="K115" s="14" t="str">
        <f t="shared" si="3"/>
        <v/>
      </c>
      <c r="L115" s="3" t="str">
        <f t="shared" ca="1" si="4"/>
        <v>CRITICO(MAS 30 DIAS)</v>
      </c>
    </row>
    <row r="116" spans="1:12" ht="15.75" x14ac:dyDescent="0.25">
      <c r="A116" s="3" t="str">
        <f t="shared" si="5"/>
        <v>ene</v>
      </c>
      <c r="J116" s="29" t="s">
        <v>299</v>
      </c>
      <c r="K116" s="14" t="str">
        <f t="shared" si="3"/>
        <v/>
      </c>
      <c r="L116" s="3" t="str">
        <f t="shared" ca="1" si="4"/>
        <v>CRITICO(MAS 30 DIAS)</v>
      </c>
    </row>
    <row r="117" spans="1:12" ht="15.75" x14ac:dyDescent="0.25">
      <c r="A117" s="3" t="str">
        <f t="shared" si="5"/>
        <v>ene</v>
      </c>
      <c r="J117" s="29" t="s">
        <v>301</v>
      </c>
      <c r="K117" s="14" t="str">
        <f t="shared" si="3"/>
        <v/>
      </c>
      <c r="L117" s="3" t="str">
        <f t="shared" ca="1" si="4"/>
        <v>CRITICO(MAS 30 DIAS)</v>
      </c>
    </row>
    <row r="118" spans="1:12" ht="15.75" x14ac:dyDescent="0.25">
      <c r="A118" s="3" t="str">
        <f t="shared" si="5"/>
        <v>ene</v>
      </c>
      <c r="J118" s="29" t="s">
        <v>521</v>
      </c>
      <c r="K118" s="14" t="str">
        <f t="shared" si="3"/>
        <v/>
      </c>
      <c r="L118" s="3" t="str">
        <f t="shared" ca="1" si="4"/>
        <v>CRITICO(MAS 30 DIAS)</v>
      </c>
    </row>
    <row r="119" spans="1:12" ht="15.75" x14ac:dyDescent="0.25">
      <c r="A119" s="3" t="str">
        <f t="shared" si="5"/>
        <v>ene</v>
      </c>
      <c r="J119" s="29" t="s">
        <v>522</v>
      </c>
      <c r="K119" s="14" t="str">
        <f t="shared" si="3"/>
        <v/>
      </c>
      <c r="L119" s="3" t="str">
        <f t="shared" ca="1" si="4"/>
        <v>CRITICO(MAS 30 DIAS)</v>
      </c>
    </row>
    <row r="120" spans="1:12" ht="15.75" x14ac:dyDescent="0.25">
      <c r="A120" s="3" t="str">
        <f t="shared" si="5"/>
        <v>ene</v>
      </c>
      <c r="J120" s="29" t="s">
        <v>523</v>
      </c>
      <c r="K120" s="14" t="str">
        <f t="shared" si="3"/>
        <v/>
      </c>
      <c r="L120" s="3" t="str">
        <f t="shared" ca="1" si="4"/>
        <v>CRITICO(MAS 30 DIAS)</v>
      </c>
    </row>
    <row r="121" spans="1:12" ht="15.75" x14ac:dyDescent="0.25">
      <c r="A121" s="3" t="str">
        <f t="shared" si="5"/>
        <v>ene</v>
      </c>
      <c r="J121" s="29" t="s">
        <v>524</v>
      </c>
      <c r="K121" s="14">
        <f t="shared" si="3"/>
        <v>46310</v>
      </c>
      <c r="L121" s="3" t="str">
        <f t="shared" ca="1" si="4"/>
        <v>AL DIA (MENOS 10 DIAS)</v>
      </c>
    </row>
    <row r="122" spans="1:12" ht="15.75" x14ac:dyDescent="0.25">
      <c r="A122" s="3" t="str">
        <f t="shared" si="5"/>
        <v>ene</v>
      </c>
      <c r="J122" s="29" t="s">
        <v>105</v>
      </c>
      <c r="K122" s="14" t="str">
        <f t="shared" si="3"/>
        <v/>
      </c>
      <c r="L122" s="3" t="str">
        <f t="shared" ca="1" si="4"/>
        <v>CRITICO(MAS 30 DIAS)</v>
      </c>
    </row>
    <row r="123" spans="1:12" ht="15.75" x14ac:dyDescent="0.25">
      <c r="A123" s="3" t="str">
        <f t="shared" si="5"/>
        <v>ene</v>
      </c>
      <c r="J123" s="29" t="s">
        <v>525</v>
      </c>
      <c r="K123" s="14" t="str">
        <f t="shared" si="3"/>
        <v/>
      </c>
      <c r="L123" s="3" t="str">
        <f t="shared" ca="1" si="4"/>
        <v>CRITICO(MAS 30 DIAS)</v>
      </c>
    </row>
    <row r="124" spans="1:12" ht="15.75" x14ac:dyDescent="0.25">
      <c r="A124" s="3" t="str">
        <f t="shared" si="5"/>
        <v>ene</v>
      </c>
      <c r="J124" s="29" t="s">
        <v>526</v>
      </c>
      <c r="K124" s="14" t="str">
        <f t="shared" si="3"/>
        <v/>
      </c>
      <c r="L124" s="3" t="str">
        <f t="shared" ca="1" si="4"/>
        <v>CRITICO(MAS 30 DIAS)</v>
      </c>
    </row>
    <row r="125" spans="1:12" ht="15.75" x14ac:dyDescent="0.25">
      <c r="A125" s="3" t="str">
        <f t="shared" si="5"/>
        <v>ene</v>
      </c>
      <c r="J125" s="29" t="s">
        <v>171</v>
      </c>
      <c r="K125" s="14" t="str">
        <f t="shared" si="3"/>
        <v/>
      </c>
      <c r="L125" s="3" t="str">
        <f t="shared" ca="1" si="4"/>
        <v>CRITICO(MAS 30 DIAS)</v>
      </c>
    </row>
    <row r="126" spans="1:12" ht="15.75" x14ac:dyDescent="0.25">
      <c r="A126" s="3" t="str">
        <f t="shared" si="5"/>
        <v>ene</v>
      </c>
      <c r="J126" s="29" t="s">
        <v>21</v>
      </c>
      <c r="K126" s="14" t="str">
        <f t="shared" si="3"/>
        <v/>
      </c>
      <c r="L126" s="3" t="str">
        <f t="shared" ca="1" si="4"/>
        <v>CRITICO(MAS 30 DIAS)</v>
      </c>
    </row>
    <row r="127" spans="1:12" ht="15.75" x14ac:dyDescent="0.25">
      <c r="A127" s="3" t="str">
        <f t="shared" si="5"/>
        <v>ene</v>
      </c>
      <c r="J127" s="29" t="s">
        <v>527</v>
      </c>
      <c r="K127" s="14" t="str">
        <f t="shared" si="3"/>
        <v/>
      </c>
      <c r="L127" s="3" t="str">
        <f t="shared" ca="1" si="4"/>
        <v>CRITICO(MAS 30 DIAS)</v>
      </c>
    </row>
    <row r="128" spans="1:12" ht="15.75" x14ac:dyDescent="0.25">
      <c r="A128" s="3" t="str">
        <f t="shared" si="5"/>
        <v>ene</v>
      </c>
      <c r="J128" s="29" t="s">
        <v>528</v>
      </c>
      <c r="K128" s="14" t="str">
        <f t="shared" si="3"/>
        <v/>
      </c>
      <c r="L128" s="3" t="str">
        <f t="shared" ca="1" si="4"/>
        <v>CRITICO(MAS 30 DIAS)</v>
      </c>
    </row>
    <row r="129" spans="1:12" x14ac:dyDescent="0.25">
      <c r="A129" s="3" t="str">
        <f t="shared" si="5"/>
        <v>ene</v>
      </c>
      <c r="J129" s="28" t="s">
        <v>529</v>
      </c>
      <c r="K129" s="14" t="str">
        <f t="shared" si="3"/>
        <v/>
      </c>
      <c r="L129" s="3" t="str">
        <f t="shared" ca="1" si="4"/>
        <v>CRITICO(MAS 30 DIAS)</v>
      </c>
    </row>
    <row r="130" spans="1:12" ht="15.75" x14ac:dyDescent="0.25">
      <c r="A130" s="3" t="str">
        <f t="shared" si="5"/>
        <v>ene</v>
      </c>
      <c r="J130" s="29" t="s">
        <v>269</v>
      </c>
      <c r="K130" s="14" t="str">
        <f t="shared" si="3"/>
        <v/>
      </c>
      <c r="L130" s="3" t="str">
        <f t="shared" ca="1" si="4"/>
        <v>CRITICO(MAS 30 DIAS)</v>
      </c>
    </row>
    <row r="131" spans="1:12" ht="15.75" x14ac:dyDescent="0.25">
      <c r="A131" s="3" t="str">
        <f t="shared" si="5"/>
        <v>ene</v>
      </c>
      <c r="J131" s="29" t="s">
        <v>266</v>
      </c>
      <c r="K131" s="14" t="str">
        <f t="shared" si="3"/>
        <v/>
      </c>
      <c r="L131" s="3" t="str">
        <f t="shared" ca="1" si="4"/>
        <v>CRITICO(MAS 30 DIAS)</v>
      </c>
    </row>
    <row r="132" spans="1:12" ht="15.75" x14ac:dyDescent="0.25">
      <c r="A132" s="3" t="str">
        <f t="shared" si="5"/>
        <v>ene</v>
      </c>
      <c r="J132" s="29" t="s">
        <v>252</v>
      </c>
      <c r="K132" s="14" t="str">
        <f t="shared" ref="K132:K195" si="6">IFERROR(LOOKUP(2,1/($B$3:$B$1001=J132),$D$3:$D$1001),"")</f>
        <v/>
      </c>
      <c r="L132" s="3" t="str">
        <f t="shared" ref="L132:L195" ca="1" si="7">IF(OR(K132="",K132=0),"CRITICO(MAS 30 DIAS)",IF(TODAY()-K132&gt;=30,"CRITICO(MAS 30 DIAS)",IF(TODAY()-K132&gt;=15,"POR REALIZAR(ALERTA)","AL DIA (MENOS 10 DIAS)")))</f>
        <v>CRITICO(MAS 30 DIAS)</v>
      </c>
    </row>
    <row r="133" spans="1:12" ht="15.75" x14ac:dyDescent="0.25">
      <c r="A133" s="3" t="str">
        <f t="shared" si="5"/>
        <v>ene</v>
      </c>
      <c r="J133" s="29" t="s">
        <v>262</v>
      </c>
      <c r="K133" s="14" t="str">
        <f t="shared" si="6"/>
        <v/>
      </c>
      <c r="L133" s="3" t="str">
        <f t="shared" ca="1" si="7"/>
        <v>CRITICO(MAS 30 DIAS)</v>
      </c>
    </row>
    <row r="134" spans="1:12" ht="15.75" x14ac:dyDescent="0.25">
      <c r="A134" s="3" t="str">
        <f t="shared" ref="A134:A197" si="8">TEXT($D134,"mmm")</f>
        <v>ene</v>
      </c>
      <c r="J134" s="29" t="s">
        <v>530</v>
      </c>
      <c r="K134" s="14" t="str">
        <f t="shared" si="6"/>
        <v/>
      </c>
      <c r="L134" s="3" t="str">
        <f t="shared" ca="1" si="7"/>
        <v>CRITICO(MAS 30 DIAS)</v>
      </c>
    </row>
    <row r="135" spans="1:12" ht="15.75" x14ac:dyDescent="0.25">
      <c r="A135" s="3" t="str">
        <f t="shared" si="8"/>
        <v>ene</v>
      </c>
      <c r="J135" s="29" t="s">
        <v>531</v>
      </c>
      <c r="K135" s="14" t="str">
        <f t="shared" si="6"/>
        <v/>
      </c>
      <c r="L135" s="3" t="str">
        <f t="shared" ca="1" si="7"/>
        <v>CRITICO(MAS 30 DIAS)</v>
      </c>
    </row>
    <row r="136" spans="1:12" ht="15.75" x14ac:dyDescent="0.25">
      <c r="A136" s="3" t="str">
        <f t="shared" si="8"/>
        <v>ene</v>
      </c>
      <c r="J136" s="29" t="s">
        <v>303</v>
      </c>
      <c r="K136" s="14" t="str">
        <f t="shared" si="6"/>
        <v/>
      </c>
      <c r="L136" s="3" t="str">
        <f t="shared" ca="1" si="7"/>
        <v>CRITICO(MAS 30 DIAS)</v>
      </c>
    </row>
    <row r="137" spans="1:12" ht="15.75" x14ac:dyDescent="0.25">
      <c r="A137" s="3" t="str">
        <f t="shared" si="8"/>
        <v>ene</v>
      </c>
      <c r="J137" s="29" t="s">
        <v>285</v>
      </c>
      <c r="K137" s="14" t="str">
        <f t="shared" si="6"/>
        <v/>
      </c>
      <c r="L137" s="3" t="str">
        <f t="shared" ca="1" si="7"/>
        <v>CRITICO(MAS 30 DIAS)</v>
      </c>
    </row>
    <row r="138" spans="1:12" ht="15.75" x14ac:dyDescent="0.25">
      <c r="A138" s="3" t="str">
        <f t="shared" si="8"/>
        <v>ene</v>
      </c>
      <c r="J138" s="29" t="s">
        <v>260</v>
      </c>
      <c r="K138" s="14" t="str">
        <f t="shared" si="6"/>
        <v/>
      </c>
      <c r="L138" s="3" t="str">
        <f t="shared" ca="1" si="7"/>
        <v>CRITICO(MAS 30 DIAS)</v>
      </c>
    </row>
    <row r="139" spans="1:12" ht="15.75" x14ac:dyDescent="0.25">
      <c r="A139" s="3" t="str">
        <f t="shared" si="8"/>
        <v>ene</v>
      </c>
      <c r="J139" s="29" t="s">
        <v>532</v>
      </c>
      <c r="K139" s="14" t="str">
        <f t="shared" si="6"/>
        <v/>
      </c>
      <c r="L139" s="3" t="str">
        <f t="shared" ca="1" si="7"/>
        <v>CRITICO(MAS 30 DIAS)</v>
      </c>
    </row>
    <row r="140" spans="1:12" ht="15.75" x14ac:dyDescent="0.25">
      <c r="A140" s="3" t="str">
        <f t="shared" si="8"/>
        <v>ene</v>
      </c>
      <c r="J140" s="29" t="s">
        <v>235</v>
      </c>
      <c r="K140" s="14" t="str">
        <f t="shared" si="6"/>
        <v/>
      </c>
      <c r="L140" s="3" t="str">
        <f t="shared" ca="1" si="7"/>
        <v>CRITICO(MAS 30 DIAS)</v>
      </c>
    </row>
    <row r="141" spans="1:12" ht="15.75" x14ac:dyDescent="0.25">
      <c r="A141" s="3" t="str">
        <f t="shared" si="8"/>
        <v>ene</v>
      </c>
      <c r="J141" s="29" t="s">
        <v>533</v>
      </c>
      <c r="K141" s="14" t="str">
        <f t="shared" si="6"/>
        <v/>
      </c>
      <c r="L141" s="3" t="str">
        <f t="shared" ca="1" si="7"/>
        <v>CRITICO(MAS 30 DIAS)</v>
      </c>
    </row>
    <row r="142" spans="1:12" ht="15.75" x14ac:dyDescent="0.25">
      <c r="A142" s="3" t="str">
        <f t="shared" si="8"/>
        <v>ene</v>
      </c>
      <c r="J142" s="29" t="s">
        <v>534</v>
      </c>
      <c r="K142" s="14" t="str">
        <f t="shared" si="6"/>
        <v/>
      </c>
      <c r="L142" s="3" t="str">
        <f t="shared" ca="1" si="7"/>
        <v>CRITICO(MAS 30 DIAS)</v>
      </c>
    </row>
    <row r="143" spans="1:12" ht="15.75" x14ac:dyDescent="0.25">
      <c r="A143" s="3" t="str">
        <f t="shared" si="8"/>
        <v>ene</v>
      </c>
      <c r="J143" s="29" t="s">
        <v>535</v>
      </c>
      <c r="K143" s="14" t="str">
        <f t="shared" si="6"/>
        <v/>
      </c>
      <c r="L143" s="3" t="str">
        <f t="shared" ca="1" si="7"/>
        <v>CRITICO(MAS 30 DIAS)</v>
      </c>
    </row>
    <row r="144" spans="1:12" ht="15.75" x14ac:dyDescent="0.25">
      <c r="A144" s="3" t="str">
        <f t="shared" si="8"/>
        <v>ene</v>
      </c>
      <c r="J144" s="29" t="s">
        <v>228</v>
      </c>
      <c r="K144" s="14" t="str">
        <f t="shared" si="6"/>
        <v/>
      </c>
      <c r="L144" s="3" t="str">
        <f t="shared" ca="1" si="7"/>
        <v>CRITICO(MAS 30 DIAS)</v>
      </c>
    </row>
    <row r="145" spans="1:12" ht="15.75" x14ac:dyDescent="0.25">
      <c r="A145" s="3" t="str">
        <f t="shared" si="8"/>
        <v>ene</v>
      </c>
      <c r="J145" s="29" t="s">
        <v>226</v>
      </c>
      <c r="K145" s="14" t="str">
        <f t="shared" si="6"/>
        <v/>
      </c>
      <c r="L145" s="3" t="str">
        <f t="shared" ca="1" si="7"/>
        <v>CRITICO(MAS 30 DIAS)</v>
      </c>
    </row>
    <row r="146" spans="1:12" ht="15.75" x14ac:dyDescent="0.25">
      <c r="A146" s="3" t="str">
        <f t="shared" si="8"/>
        <v>ene</v>
      </c>
      <c r="J146" s="29" t="s">
        <v>280</v>
      </c>
      <c r="K146" s="14" t="str">
        <f t="shared" si="6"/>
        <v/>
      </c>
      <c r="L146" s="3" t="str">
        <f t="shared" ca="1" si="7"/>
        <v>CRITICO(MAS 30 DIAS)</v>
      </c>
    </row>
    <row r="147" spans="1:12" ht="15.75" x14ac:dyDescent="0.25">
      <c r="A147" s="3" t="str">
        <f t="shared" si="8"/>
        <v>ene</v>
      </c>
      <c r="J147" s="29" t="s">
        <v>536</v>
      </c>
      <c r="K147" s="14" t="str">
        <f t="shared" si="6"/>
        <v/>
      </c>
      <c r="L147" s="3" t="str">
        <f t="shared" ca="1" si="7"/>
        <v>CRITICO(MAS 30 DIAS)</v>
      </c>
    </row>
    <row r="148" spans="1:12" ht="15.75" x14ac:dyDescent="0.25">
      <c r="A148" s="3" t="str">
        <f t="shared" si="8"/>
        <v>ene</v>
      </c>
      <c r="J148" s="29" t="s">
        <v>140</v>
      </c>
      <c r="K148" s="14" t="str">
        <f t="shared" si="6"/>
        <v/>
      </c>
      <c r="L148" s="3" t="str">
        <f t="shared" ca="1" si="7"/>
        <v>CRITICO(MAS 30 DIAS)</v>
      </c>
    </row>
    <row r="149" spans="1:12" ht="15.75" x14ac:dyDescent="0.25">
      <c r="A149" s="3" t="str">
        <f t="shared" si="8"/>
        <v>ene</v>
      </c>
      <c r="J149" s="29" t="s">
        <v>537</v>
      </c>
      <c r="K149" s="14" t="str">
        <f t="shared" si="6"/>
        <v/>
      </c>
      <c r="L149" s="3" t="str">
        <f t="shared" ca="1" si="7"/>
        <v>CRITICO(MAS 30 DIAS)</v>
      </c>
    </row>
    <row r="150" spans="1:12" ht="15.75" x14ac:dyDescent="0.25">
      <c r="A150" s="3" t="str">
        <f t="shared" si="8"/>
        <v>ene</v>
      </c>
      <c r="J150" s="29" t="s">
        <v>236</v>
      </c>
      <c r="K150" s="14" t="str">
        <f t="shared" si="6"/>
        <v/>
      </c>
      <c r="L150" s="3" t="str">
        <f t="shared" ca="1" si="7"/>
        <v>CRITICO(MAS 30 DIAS)</v>
      </c>
    </row>
    <row r="151" spans="1:12" ht="15.75" x14ac:dyDescent="0.25">
      <c r="A151" s="3" t="str">
        <f t="shared" si="8"/>
        <v>ene</v>
      </c>
      <c r="J151" s="29" t="s">
        <v>310</v>
      </c>
      <c r="K151" s="14" t="str">
        <f t="shared" si="6"/>
        <v/>
      </c>
      <c r="L151" s="3" t="str">
        <f t="shared" ca="1" si="7"/>
        <v>CRITICO(MAS 30 DIAS)</v>
      </c>
    </row>
    <row r="152" spans="1:12" ht="15.75" x14ac:dyDescent="0.25">
      <c r="A152" s="3" t="str">
        <f t="shared" si="8"/>
        <v>ene</v>
      </c>
      <c r="J152" s="29" t="s">
        <v>538</v>
      </c>
      <c r="K152" s="14" t="str">
        <f t="shared" si="6"/>
        <v/>
      </c>
      <c r="L152" s="3" t="str">
        <f t="shared" ca="1" si="7"/>
        <v>CRITICO(MAS 30 DIAS)</v>
      </c>
    </row>
    <row r="153" spans="1:12" ht="15.75" x14ac:dyDescent="0.25">
      <c r="A153" s="3" t="str">
        <f t="shared" si="8"/>
        <v>ene</v>
      </c>
      <c r="J153" s="29" t="s">
        <v>222</v>
      </c>
      <c r="K153" s="14" t="str">
        <f t="shared" si="6"/>
        <v/>
      </c>
      <c r="L153" s="3" t="str">
        <f t="shared" ca="1" si="7"/>
        <v>CRITICO(MAS 30 DIAS)</v>
      </c>
    </row>
    <row r="154" spans="1:12" ht="15.75" x14ac:dyDescent="0.25">
      <c r="A154" s="3" t="str">
        <f t="shared" si="8"/>
        <v>ene</v>
      </c>
      <c r="J154" s="29" t="s">
        <v>256</v>
      </c>
      <c r="K154" s="14" t="str">
        <f t="shared" si="6"/>
        <v/>
      </c>
      <c r="L154" s="3" t="str">
        <f t="shared" ca="1" si="7"/>
        <v>CRITICO(MAS 30 DIAS)</v>
      </c>
    </row>
    <row r="155" spans="1:12" ht="15.75" x14ac:dyDescent="0.25">
      <c r="A155" s="3" t="str">
        <f t="shared" si="8"/>
        <v>ene</v>
      </c>
      <c r="J155" s="29" t="s">
        <v>245</v>
      </c>
      <c r="K155" s="14" t="str">
        <f t="shared" si="6"/>
        <v/>
      </c>
      <c r="L155" s="3" t="str">
        <f t="shared" ca="1" si="7"/>
        <v>CRITICO(MAS 30 DIAS)</v>
      </c>
    </row>
    <row r="156" spans="1:12" ht="15.75" x14ac:dyDescent="0.25">
      <c r="A156" s="3" t="str">
        <f t="shared" si="8"/>
        <v>ene</v>
      </c>
      <c r="J156" s="29" t="s">
        <v>305</v>
      </c>
      <c r="K156" s="14" t="str">
        <f t="shared" si="6"/>
        <v/>
      </c>
      <c r="L156" s="3" t="str">
        <f t="shared" ca="1" si="7"/>
        <v>CRITICO(MAS 30 DIAS)</v>
      </c>
    </row>
    <row r="157" spans="1:12" ht="15.75" x14ac:dyDescent="0.25">
      <c r="A157" s="3" t="str">
        <f t="shared" si="8"/>
        <v>ene</v>
      </c>
      <c r="J157" s="29" t="s">
        <v>294</v>
      </c>
      <c r="K157" s="14" t="str">
        <f t="shared" si="6"/>
        <v/>
      </c>
      <c r="L157" s="3" t="str">
        <f t="shared" ca="1" si="7"/>
        <v>CRITICO(MAS 30 DIAS)</v>
      </c>
    </row>
    <row r="158" spans="1:12" ht="15.75" x14ac:dyDescent="0.25">
      <c r="A158" s="3" t="str">
        <f t="shared" si="8"/>
        <v>ene</v>
      </c>
      <c r="J158" s="29" t="s">
        <v>218</v>
      </c>
      <c r="K158" s="14" t="str">
        <f t="shared" si="6"/>
        <v/>
      </c>
      <c r="L158" s="3" t="str">
        <f t="shared" ca="1" si="7"/>
        <v>CRITICO(MAS 30 DIAS)</v>
      </c>
    </row>
    <row r="159" spans="1:12" ht="15.75" x14ac:dyDescent="0.25">
      <c r="A159" s="3" t="str">
        <f t="shared" si="8"/>
        <v>ene</v>
      </c>
      <c r="J159" s="29" t="s">
        <v>539</v>
      </c>
      <c r="K159" s="14" t="str">
        <f t="shared" si="6"/>
        <v/>
      </c>
      <c r="L159" s="3" t="str">
        <f t="shared" ca="1" si="7"/>
        <v>CRITICO(MAS 30 DIAS)</v>
      </c>
    </row>
    <row r="160" spans="1:12" ht="15.75" x14ac:dyDescent="0.25">
      <c r="A160" s="3" t="str">
        <f t="shared" si="8"/>
        <v>ene</v>
      </c>
      <c r="J160" s="29" t="s">
        <v>264</v>
      </c>
      <c r="K160" s="14" t="str">
        <f t="shared" si="6"/>
        <v/>
      </c>
      <c r="L160" s="3" t="str">
        <f t="shared" ca="1" si="7"/>
        <v>CRITICO(MAS 30 DIAS)</v>
      </c>
    </row>
    <row r="161" spans="1:12" ht="15.75" x14ac:dyDescent="0.25">
      <c r="A161" s="3" t="str">
        <f t="shared" si="8"/>
        <v>ene</v>
      </c>
      <c r="J161" s="29" t="s">
        <v>287</v>
      </c>
      <c r="K161" s="14" t="str">
        <f t="shared" si="6"/>
        <v/>
      </c>
      <c r="L161" s="3" t="str">
        <f t="shared" ca="1" si="7"/>
        <v>CRITICO(MAS 30 DIAS)</v>
      </c>
    </row>
    <row r="162" spans="1:12" ht="15.75" x14ac:dyDescent="0.25">
      <c r="A162" s="3" t="str">
        <f t="shared" si="8"/>
        <v>ene</v>
      </c>
      <c r="J162" s="29" t="s">
        <v>283</v>
      </c>
      <c r="K162" s="14" t="str">
        <f t="shared" si="6"/>
        <v/>
      </c>
      <c r="L162" s="3" t="str">
        <f t="shared" ca="1" si="7"/>
        <v>CRITICO(MAS 30 DIAS)</v>
      </c>
    </row>
    <row r="163" spans="1:12" ht="15.75" x14ac:dyDescent="0.25">
      <c r="A163" s="3" t="str">
        <f t="shared" si="8"/>
        <v>ene</v>
      </c>
      <c r="J163" s="29" t="s">
        <v>289</v>
      </c>
      <c r="K163" s="14" t="str">
        <f t="shared" si="6"/>
        <v/>
      </c>
      <c r="L163" s="3" t="str">
        <f t="shared" ca="1" si="7"/>
        <v>CRITICO(MAS 30 DIAS)</v>
      </c>
    </row>
    <row r="164" spans="1:12" ht="15.75" x14ac:dyDescent="0.25">
      <c r="A164" s="3" t="str">
        <f t="shared" si="8"/>
        <v>ene</v>
      </c>
      <c r="J164" s="29" t="s">
        <v>540</v>
      </c>
      <c r="K164" s="14" t="str">
        <f t="shared" si="6"/>
        <v/>
      </c>
      <c r="L164" s="3" t="str">
        <f t="shared" ca="1" si="7"/>
        <v>CRITICO(MAS 30 DIAS)</v>
      </c>
    </row>
    <row r="165" spans="1:12" ht="15.75" x14ac:dyDescent="0.25">
      <c r="A165" s="3" t="str">
        <f t="shared" si="8"/>
        <v>ene</v>
      </c>
      <c r="J165" s="29" t="s">
        <v>541</v>
      </c>
      <c r="K165" s="14" t="str">
        <f t="shared" si="6"/>
        <v/>
      </c>
      <c r="L165" s="3" t="str">
        <f t="shared" ca="1" si="7"/>
        <v>CRITICO(MAS 30 DIAS)</v>
      </c>
    </row>
    <row r="166" spans="1:12" ht="15.75" x14ac:dyDescent="0.25">
      <c r="A166" s="3" t="str">
        <f t="shared" si="8"/>
        <v>ene</v>
      </c>
      <c r="J166" s="29" t="s">
        <v>291</v>
      </c>
      <c r="K166" s="14" t="str">
        <f t="shared" si="6"/>
        <v/>
      </c>
      <c r="L166" s="3" t="str">
        <f t="shared" ca="1" si="7"/>
        <v>CRITICO(MAS 30 DIAS)</v>
      </c>
    </row>
    <row r="167" spans="1:12" ht="15.75" x14ac:dyDescent="0.25">
      <c r="A167" s="3" t="str">
        <f t="shared" si="8"/>
        <v>ene</v>
      </c>
      <c r="J167" s="29" t="s">
        <v>286</v>
      </c>
      <c r="K167" s="14" t="str">
        <f t="shared" si="6"/>
        <v/>
      </c>
      <c r="L167" s="3" t="str">
        <f t="shared" ca="1" si="7"/>
        <v>CRITICO(MAS 30 DIAS)</v>
      </c>
    </row>
    <row r="168" spans="1:12" ht="15.75" x14ac:dyDescent="0.25">
      <c r="A168" s="3" t="str">
        <f t="shared" si="8"/>
        <v>ene</v>
      </c>
      <c r="J168" s="29" t="s">
        <v>542</v>
      </c>
      <c r="K168" s="14" t="str">
        <f t="shared" si="6"/>
        <v/>
      </c>
      <c r="L168" s="3" t="str">
        <f t="shared" ca="1" si="7"/>
        <v>CRITICO(MAS 30 DIAS)</v>
      </c>
    </row>
    <row r="169" spans="1:12" ht="15.75" x14ac:dyDescent="0.25">
      <c r="A169" s="3" t="str">
        <f t="shared" si="8"/>
        <v>ene</v>
      </c>
      <c r="J169" s="29" t="s">
        <v>543</v>
      </c>
      <c r="K169" s="14" t="str">
        <f t="shared" si="6"/>
        <v/>
      </c>
      <c r="L169" s="3" t="str">
        <f t="shared" ca="1" si="7"/>
        <v>CRITICO(MAS 30 DIAS)</v>
      </c>
    </row>
    <row r="170" spans="1:12" ht="15.75" x14ac:dyDescent="0.25">
      <c r="A170" s="3" t="str">
        <f t="shared" si="8"/>
        <v>ene</v>
      </c>
      <c r="J170" s="29" t="s">
        <v>544</v>
      </c>
      <c r="K170" s="14" t="str">
        <f t="shared" si="6"/>
        <v/>
      </c>
      <c r="L170" s="3" t="str">
        <f t="shared" ca="1" si="7"/>
        <v>CRITICO(MAS 30 DIAS)</v>
      </c>
    </row>
    <row r="171" spans="1:12" ht="15.75" x14ac:dyDescent="0.25">
      <c r="A171" s="3" t="str">
        <f t="shared" si="8"/>
        <v>ene</v>
      </c>
      <c r="J171" s="29" t="s">
        <v>273</v>
      </c>
      <c r="K171" s="14" t="str">
        <f t="shared" si="6"/>
        <v/>
      </c>
      <c r="L171" s="3" t="str">
        <f t="shared" ca="1" si="7"/>
        <v>CRITICO(MAS 30 DIAS)</v>
      </c>
    </row>
    <row r="172" spans="1:12" ht="15.75" x14ac:dyDescent="0.25">
      <c r="A172" s="3" t="str">
        <f t="shared" si="8"/>
        <v>ene</v>
      </c>
      <c r="J172" s="29" t="s">
        <v>296</v>
      </c>
      <c r="K172" s="14" t="str">
        <f t="shared" si="6"/>
        <v/>
      </c>
      <c r="L172" s="3" t="str">
        <f t="shared" ca="1" si="7"/>
        <v>CRITICO(MAS 30 DIAS)</v>
      </c>
    </row>
    <row r="173" spans="1:12" ht="15.75" x14ac:dyDescent="0.25">
      <c r="A173" s="3" t="str">
        <f t="shared" si="8"/>
        <v>ene</v>
      </c>
      <c r="J173" s="29" t="s">
        <v>545</v>
      </c>
      <c r="K173" s="14" t="str">
        <f t="shared" si="6"/>
        <v/>
      </c>
      <c r="L173" s="3" t="str">
        <f t="shared" ca="1" si="7"/>
        <v>CRITICO(MAS 30 DIAS)</v>
      </c>
    </row>
    <row r="174" spans="1:12" ht="15.75" x14ac:dyDescent="0.25">
      <c r="A174" s="3" t="str">
        <f t="shared" si="8"/>
        <v>ene</v>
      </c>
      <c r="J174" s="29" t="s">
        <v>248</v>
      </c>
      <c r="K174" s="14" t="str">
        <f t="shared" si="6"/>
        <v/>
      </c>
      <c r="L174" s="3" t="str">
        <f t="shared" ca="1" si="7"/>
        <v>CRITICO(MAS 30 DIAS)</v>
      </c>
    </row>
    <row r="175" spans="1:12" ht="15.75" x14ac:dyDescent="0.25">
      <c r="A175" s="3" t="str">
        <f t="shared" si="8"/>
        <v>ene</v>
      </c>
      <c r="J175" s="29" t="s">
        <v>281</v>
      </c>
      <c r="K175" s="14" t="str">
        <f t="shared" si="6"/>
        <v/>
      </c>
      <c r="L175" s="3" t="str">
        <f t="shared" ca="1" si="7"/>
        <v>CRITICO(MAS 30 DIAS)</v>
      </c>
    </row>
    <row r="176" spans="1:12" ht="15.75" x14ac:dyDescent="0.25">
      <c r="A176" s="3" t="str">
        <f t="shared" si="8"/>
        <v>ene</v>
      </c>
      <c r="J176" s="29" t="s">
        <v>277</v>
      </c>
      <c r="K176" s="14" t="str">
        <f t="shared" si="6"/>
        <v/>
      </c>
      <c r="L176" s="3" t="str">
        <f t="shared" ca="1" si="7"/>
        <v>CRITICO(MAS 30 DIAS)</v>
      </c>
    </row>
    <row r="177" spans="1:12" ht="15.75" x14ac:dyDescent="0.25">
      <c r="A177" s="3" t="str">
        <f t="shared" si="8"/>
        <v>ene</v>
      </c>
      <c r="J177" s="29" t="s">
        <v>546</v>
      </c>
      <c r="K177" s="14" t="str">
        <f t="shared" si="6"/>
        <v/>
      </c>
      <c r="L177" s="3" t="str">
        <f t="shared" ca="1" si="7"/>
        <v>CRITICO(MAS 30 DIAS)</v>
      </c>
    </row>
    <row r="178" spans="1:12" ht="15.75" x14ac:dyDescent="0.25">
      <c r="A178" s="3" t="str">
        <f t="shared" si="8"/>
        <v>ene</v>
      </c>
      <c r="J178" s="29" t="s">
        <v>547</v>
      </c>
      <c r="K178" s="14" t="str">
        <f t="shared" si="6"/>
        <v/>
      </c>
      <c r="L178" s="3" t="str">
        <f t="shared" ca="1" si="7"/>
        <v>CRITICO(MAS 30 DIAS)</v>
      </c>
    </row>
    <row r="179" spans="1:12" ht="15.75" x14ac:dyDescent="0.25">
      <c r="A179" s="3" t="str">
        <f t="shared" si="8"/>
        <v>ene</v>
      </c>
      <c r="J179" s="29" t="s">
        <v>548</v>
      </c>
      <c r="K179" s="14" t="str">
        <f t="shared" si="6"/>
        <v/>
      </c>
      <c r="L179" s="3" t="str">
        <f t="shared" ca="1" si="7"/>
        <v>CRITICO(MAS 30 DIAS)</v>
      </c>
    </row>
    <row r="180" spans="1:12" ht="15.75" x14ac:dyDescent="0.25">
      <c r="A180" s="3" t="str">
        <f t="shared" si="8"/>
        <v>ene</v>
      </c>
      <c r="J180" s="29" t="s">
        <v>549</v>
      </c>
      <c r="K180" s="14" t="str">
        <f t="shared" si="6"/>
        <v/>
      </c>
      <c r="L180" s="3" t="str">
        <f t="shared" ca="1" si="7"/>
        <v>CRITICO(MAS 30 DIAS)</v>
      </c>
    </row>
    <row r="181" spans="1:12" ht="15.75" x14ac:dyDescent="0.25">
      <c r="A181" s="3" t="str">
        <f t="shared" si="8"/>
        <v>ene</v>
      </c>
      <c r="J181" s="29" t="s">
        <v>550</v>
      </c>
      <c r="K181" s="14" t="str">
        <f t="shared" si="6"/>
        <v/>
      </c>
      <c r="L181" s="3" t="str">
        <f t="shared" ca="1" si="7"/>
        <v>CRITICO(MAS 30 DIAS)</v>
      </c>
    </row>
    <row r="182" spans="1:12" ht="15.75" x14ac:dyDescent="0.25">
      <c r="A182" s="3" t="str">
        <f t="shared" si="8"/>
        <v>ene</v>
      </c>
      <c r="J182" s="29" t="s">
        <v>234</v>
      </c>
      <c r="K182" s="14" t="str">
        <f t="shared" si="6"/>
        <v/>
      </c>
      <c r="L182" s="3" t="str">
        <f t="shared" ca="1" si="7"/>
        <v>CRITICO(MAS 30 DIAS)</v>
      </c>
    </row>
    <row r="183" spans="1:12" ht="15.75" x14ac:dyDescent="0.25">
      <c r="A183" s="3" t="str">
        <f t="shared" si="8"/>
        <v>ene</v>
      </c>
      <c r="J183" s="29" t="s">
        <v>551</v>
      </c>
      <c r="K183" s="14" t="str">
        <f t="shared" si="6"/>
        <v/>
      </c>
      <c r="L183" s="3" t="str">
        <f t="shared" ca="1" si="7"/>
        <v>CRITICO(MAS 30 DIAS)</v>
      </c>
    </row>
    <row r="184" spans="1:12" ht="15.75" x14ac:dyDescent="0.25">
      <c r="A184" s="3" t="str">
        <f t="shared" si="8"/>
        <v>ene</v>
      </c>
      <c r="J184" s="29" t="s">
        <v>552</v>
      </c>
      <c r="K184" s="14" t="str">
        <f t="shared" si="6"/>
        <v/>
      </c>
      <c r="L184" s="3" t="str">
        <f t="shared" ca="1" si="7"/>
        <v>CRITICO(MAS 30 DIAS)</v>
      </c>
    </row>
    <row r="185" spans="1:12" ht="15.75" x14ac:dyDescent="0.25">
      <c r="A185" s="3" t="str">
        <f t="shared" si="8"/>
        <v>ene</v>
      </c>
      <c r="J185" s="29" t="s">
        <v>553</v>
      </c>
      <c r="K185" s="14" t="str">
        <f t="shared" si="6"/>
        <v/>
      </c>
      <c r="L185" s="3" t="str">
        <f t="shared" ca="1" si="7"/>
        <v>CRITICO(MAS 30 DIAS)</v>
      </c>
    </row>
    <row r="186" spans="1:12" ht="15.75" x14ac:dyDescent="0.25">
      <c r="A186" s="3" t="str">
        <f t="shared" si="8"/>
        <v>ene</v>
      </c>
      <c r="J186" s="29" t="s">
        <v>312</v>
      </c>
      <c r="K186" s="14" t="str">
        <f t="shared" si="6"/>
        <v/>
      </c>
      <c r="L186" s="3" t="str">
        <f t="shared" ca="1" si="7"/>
        <v>CRITICO(MAS 30 DIAS)</v>
      </c>
    </row>
    <row r="187" spans="1:12" ht="15.75" x14ac:dyDescent="0.25">
      <c r="A187" s="3" t="str">
        <f t="shared" si="8"/>
        <v>ene</v>
      </c>
      <c r="J187" s="29" t="s">
        <v>554</v>
      </c>
      <c r="K187" s="14" t="str">
        <f t="shared" si="6"/>
        <v/>
      </c>
      <c r="L187" s="3" t="str">
        <f t="shared" ca="1" si="7"/>
        <v>CRITICO(MAS 30 DIAS)</v>
      </c>
    </row>
    <row r="188" spans="1:12" ht="15.75" x14ac:dyDescent="0.25">
      <c r="A188" s="3" t="str">
        <f t="shared" si="8"/>
        <v>ene</v>
      </c>
      <c r="J188" s="29" t="s">
        <v>555</v>
      </c>
      <c r="K188" s="14" t="str">
        <f t="shared" si="6"/>
        <v/>
      </c>
      <c r="L188" s="3" t="str">
        <f t="shared" ca="1" si="7"/>
        <v>CRITICO(MAS 30 DIAS)</v>
      </c>
    </row>
    <row r="189" spans="1:12" ht="15.75" x14ac:dyDescent="0.25">
      <c r="A189" s="3" t="str">
        <f t="shared" si="8"/>
        <v>ene</v>
      </c>
      <c r="J189" s="29" t="s">
        <v>141</v>
      </c>
      <c r="K189" s="14" t="str">
        <f t="shared" si="6"/>
        <v/>
      </c>
      <c r="L189" s="3" t="str">
        <f t="shared" ca="1" si="7"/>
        <v>CRITICO(MAS 30 DIAS)</v>
      </c>
    </row>
    <row r="190" spans="1:12" ht="15.75" x14ac:dyDescent="0.25">
      <c r="A190" s="3" t="str">
        <f t="shared" si="8"/>
        <v>ene</v>
      </c>
      <c r="J190" s="29" t="s">
        <v>556</v>
      </c>
      <c r="K190" s="14" t="str">
        <f t="shared" si="6"/>
        <v/>
      </c>
      <c r="L190" s="3" t="str">
        <f t="shared" ca="1" si="7"/>
        <v>CRITICO(MAS 30 DIAS)</v>
      </c>
    </row>
    <row r="191" spans="1:12" ht="15.75" x14ac:dyDescent="0.25">
      <c r="A191" s="3" t="str">
        <f t="shared" si="8"/>
        <v>ene</v>
      </c>
      <c r="J191" s="29" t="s">
        <v>557</v>
      </c>
      <c r="K191" s="14" t="str">
        <f t="shared" si="6"/>
        <v/>
      </c>
      <c r="L191" s="3" t="str">
        <f t="shared" ca="1" si="7"/>
        <v>CRITICO(MAS 30 DIAS)</v>
      </c>
    </row>
    <row r="192" spans="1:12" ht="15.75" x14ac:dyDescent="0.25">
      <c r="A192" s="3" t="str">
        <f t="shared" si="8"/>
        <v>ene</v>
      </c>
      <c r="J192" s="29" t="s">
        <v>8</v>
      </c>
      <c r="K192" s="14" t="str">
        <f t="shared" si="6"/>
        <v/>
      </c>
      <c r="L192" s="3" t="str">
        <f t="shared" ca="1" si="7"/>
        <v>CRITICO(MAS 30 DIAS)</v>
      </c>
    </row>
    <row r="193" spans="1:12" ht="15.75" x14ac:dyDescent="0.25">
      <c r="A193" s="3" t="str">
        <f t="shared" si="8"/>
        <v>ene</v>
      </c>
      <c r="J193" s="29" t="s">
        <v>558</v>
      </c>
      <c r="K193" s="14" t="str">
        <f t="shared" si="6"/>
        <v/>
      </c>
      <c r="L193" s="3" t="str">
        <f t="shared" ca="1" si="7"/>
        <v>CRITICO(MAS 30 DIAS)</v>
      </c>
    </row>
    <row r="194" spans="1:12" ht="15.75" x14ac:dyDescent="0.25">
      <c r="A194" s="3" t="str">
        <f t="shared" si="8"/>
        <v>ene</v>
      </c>
      <c r="J194" s="29" t="s">
        <v>559</v>
      </c>
      <c r="K194" s="14" t="str">
        <f t="shared" si="6"/>
        <v/>
      </c>
      <c r="L194" s="3" t="str">
        <f t="shared" ca="1" si="7"/>
        <v>CRITICO(MAS 30 DIAS)</v>
      </c>
    </row>
    <row r="195" spans="1:12" ht="15.75" x14ac:dyDescent="0.25">
      <c r="A195" s="3" t="str">
        <f t="shared" si="8"/>
        <v>ene</v>
      </c>
      <c r="J195" s="29" t="s">
        <v>318</v>
      </c>
      <c r="K195" s="14" t="str">
        <f t="shared" si="6"/>
        <v/>
      </c>
      <c r="L195" s="3" t="str">
        <f t="shared" ca="1" si="7"/>
        <v>CRITICO(MAS 30 DIAS)</v>
      </c>
    </row>
    <row r="196" spans="1:12" ht="15.75" x14ac:dyDescent="0.25">
      <c r="A196" s="3" t="str">
        <f t="shared" si="8"/>
        <v>ene</v>
      </c>
      <c r="J196" s="29" t="s">
        <v>319</v>
      </c>
      <c r="K196" s="14" t="str">
        <f t="shared" ref="K196:K259" si="9">IFERROR(LOOKUP(2,1/($B$3:$B$1001=J196),$D$3:$D$1001),"")</f>
        <v/>
      </c>
      <c r="L196" s="3" t="str">
        <f t="shared" ref="L196:L259" ca="1" si="10">IF(OR(K196="",K196=0),"CRITICO(MAS 30 DIAS)",IF(TODAY()-K196&gt;=30,"CRITICO(MAS 30 DIAS)",IF(TODAY()-K196&gt;=15,"POR REALIZAR(ALERTA)","AL DIA (MENOS 10 DIAS)")))</f>
        <v>CRITICO(MAS 30 DIAS)</v>
      </c>
    </row>
    <row r="197" spans="1:12" ht="15.75" x14ac:dyDescent="0.25">
      <c r="A197" s="3" t="str">
        <f t="shared" si="8"/>
        <v>ene</v>
      </c>
      <c r="J197" s="29" t="s">
        <v>325</v>
      </c>
      <c r="K197" s="14" t="str">
        <f t="shared" si="9"/>
        <v/>
      </c>
      <c r="L197" s="3" t="str">
        <f t="shared" ca="1" si="10"/>
        <v>CRITICO(MAS 30 DIAS)</v>
      </c>
    </row>
    <row r="198" spans="1:12" ht="15.75" x14ac:dyDescent="0.25">
      <c r="A198" s="3" t="str">
        <f t="shared" ref="A198:A261" si="11">TEXT($D198,"mmm")</f>
        <v>ene</v>
      </c>
      <c r="J198" s="29" t="s">
        <v>560</v>
      </c>
      <c r="K198" s="14" t="str">
        <f t="shared" si="9"/>
        <v/>
      </c>
      <c r="L198" s="3" t="str">
        <f t="shared" ca="1" si="10"/>
        <v>CRITICO(MAS 30 DIAS)</v>
      </c>
    </row>
    <row r="199" spans="1:12" ht="15.75" x14ac:dyDescent="0.25">
      <c r="A199" s="3" t="str">
        <f t="shared" si="11"/>
        <v>ene</v>
      </c>
      <c r="J199" s="29" t="s">
        <v>561</v>
      </c>
      <c r="K199" s="14" t="str">
        <f t="shared" si="9"/>
        <v/>
      </c>
      <c r="L199" s="3" t="str">
        <f t="shared" ca="1" si="10"/>
        <v>CRITICO(MAS 30 DIAS)</v>
      </c>
    </row>
    <row r="200" spans="1:12" ht="15.75" x14ac:dyDescent="0.25">
      <c r="A200" s="3" t="str">
        <f t="shared" si="11"/>
        <v>ene</v>
      </c>
      <c r="J200" s="29" t="s">
        <v>562</v>
      </c>
      <c r="K200" s="14" t="str">
        <f t="shared" si="9"/>
        <v/>
      </c>
      <c r="L200" s="3" t="str">
        <f t="shared" ca="1" si="10"/>
        <v>CRITICO(MAS 30 DIAS)</v>
      </c>
    </row>
    <row r="201" spans="1:12" ht="15.75" x14ac:dyDescent="0.25">
      <c r="A201" s="3" t="str">
        <f t="shared" si="11"/>
        <v>ene</v>
      </c>
      <c r="J201" s="29" t="s">
        <v>315</v>
      </c>
      <c r="K201" s="14" t="str">
        <f t="shared" si="9"/>
        <v/>
      </c>
      <c r="L201" s="3" t="str">
        <f t="shared" ca="1" si="10"/>
        <v>CRITICO(MAS 30 DIAS)</v>
      </c>
    </row>
    <row r="202" spans="1:12" ht="15.75" x14ac:dyDescent="0.25">
      <c r="A202" s="3" t="str">
        <f t="shared" si="11"/>
        <v>ene</v>
      </c>
      <c r="J202" s="29" t="s">
        <v>563</v>
      </c>
      <c r="K202" s="14" t="str">
        <f t="shared" si="9"/>
        <v/>
      </c>
      <c r="L202" s="3" t="str">
        <f t="shared" ca="1" si="10"/>
        <v>CRITICO(MAS 30 DIAS)</v>
      </c>
    </row>
    <row r="203" spans="1:12" ht="15.75" x14ac:dyDescent="0.25">
      <c r="A203" s="3" t="str">
        <f t="shared" si="11"/>
        <v>ene</v>
      </c>
      <c r="J203" s="29" t="s">
        <v>564</v>
      </c>
      <c r="K203" s="14" t="str">
        <f t="shared" si="9"/>
        <v/>
      </c>
      <c r="L203" s="3" t="str">
        <f t="shared" ca="1" si="10"/>
        <v>CRITICO(MAS 30 DIAS)</v>
      </c>
    </row>
    <row r="204" spans="1:12" ht="15.75" x14ac:dyDescent="0.25">
      <c r="A204" s="3" t="str">
        <f t="shared" si="11"/>
        <v>ene</v>
      </c>
      <c r="J204" s="29" t="s">
        <v>163</v>
      </c>
      <c r="K204" s="14" t="str">
        <f t="shared" si="9"/>
        <v/>
      </c>
      <c r="L204" s="3" t="str">
        <f t="shared" ca="1" si="10"/>
        <v>CRITICO(MAS 30 DIAS)</v>
      </c>
    </row>
    <row r="205" spans="1:12" ht="15.75" x14ac:dyDescent="0.25">
      <c r="A205" s="3" t="str">
        <f t="shared" si="11"/>
        <v>ene</v>
      </c>
      <c r="J205" s="29" t="s">
        <v>565</v>
      </c>
      <c r="K205" s="14" t="str">
        <f t="shared" si="9"/>
        <v/>
      </c>
      <c r="L205" s="3" t="str">
        <f t="shared" ca="1" si="10"/>
        <v>CRITICO(MAS 30 DIAS)</v>
      </c>
    </row>
    <row r="206" spans="1:12" ht="15.75" x14ac:dyDescent="0.25">
      <c r="A206" s="3" t="str">
        <f t="shared" si="11"/>
        <v>ene</v>
      </c>
      <c r="J206" s="29" t="s">
        <v>566</v>
      </c>
      <c r="K206" s="14" t="str">
        <f t="shared" si="9"/>
        <v/>
      </c>
      <c r="L206" s="3" t="str">
        <f t="shared" ca="1" si="10"/>
        <v>CRITICO(MAS 30 DIAS)</v>
      </c>
    </row>
    <row r="207" spans="1:12" ht="15.75" x14ac:dyDescent="0.25">
      <c r="A207" s="3" t="str">
        <f t="shared" si="11"/>
        <v>ene</v>
      </c>
      <c r="J207" s="29" t="s">
        <v>567</v>
      </c>
      <c r="K207" s="14" t="str">
        <f t="shared" si="9"/>
        <v/>
      </c>
      <c r="L207" s="3" t="str">
        <f t="shared" ca="1" si="10"/>
        <v>CRITICO(MAS 30 DIAS)</v>
      </c>
    </row>
    <row r="208" spans="1:12" ht="15.75" x14ac:dyDescent="0.25">
      <c r="A208" s="3" t="str">
        <f t="shared" si="11"/>
        <v>ene</v>
      </c>
      <c r="J208" s="29" t="s">
        <v>568</v>
      </c>
      <c r="K208" s="14" t="str">
        <f t="shared" si="9"/>
        <v/>
      </c>
      <c r="L208" s="3" t="str">
        <f t="shared" ca="1" si="10"/>
        <v>CRITICO(MAS 30 DIAS)</v>
      </c>
    </row>
    <row r="209" spans="1:12" ht="15.75" x14ac:dyDescent="0.25">
      <c r="A209" s="3" t="str">
        <f t="shared" si="11"/>
        <v>ene</v>
      </c>
      <c r="J209" s="29" t="s">
        <v>569</v>
      </c>
      <c r="K209" s="14" t="str">
        <f t="shared" si="9"/>
        <v/>
      </c>
      <c r="L209" s="3" t="str">
        <f t="shared" ca="1" si="10"/>
        <v>CRITICO(MAS 30 DIAS)</v>
      </c>
    </row>
    <row r="210" spans="1:12" ht="15.75" x14ac:dyDescent="0.25">
      <c r="A210" s="3" t="str">
        <f t="shared" si="11"/>
        <v>ene</v>
      </c>
      <c r="J210" s="29" t="s">
        <v>570</v>
      </c>
      <c r="K210" s="14" t="str">
        <f t="shared" si="9"/>
        <v/>
      </c>
      <c r="L210" s="3" t="str">
        <f t="shared" ca="1" si="10"/>
        <v>CRITICO(MAS 30 DIAS)</v>
      </c>
    </row>
    <row r="211" spans="1:12" ht="15.75" x14ac:dyDescent="0.25">
      <c r="A211" s="3" t="str">
        <f t="shared" si="11"/>
        <v>ene</v>
      </c>
      <c r="J211" s="29" t="s">
        <v>571</v>
      </c>
      <c r="K211" s="14" t="str">
        <f t="shared" si="9"/>
        <v/>
      </c>
      <c r="L211" s="3" t="str">
        <f t="shared" ca="1" si="10"/>
        <v>CRITICO(MAS 30 DIAS)</v>
      </c>
    </row>
    <row r="212" spans="1:12" ht="15.75" x14ac:dyDescent="0.25">
      <c r="A212" s="3" t="str">
        <f t="shared" si="11"/>
        <v>ene</v>
      </c>
      <c r="J212" s="29" t="s">
        <v>572</v>
      </c>
      <c r="K212" s="14" t="str">
        <f t="shared" si="9"/>
        <v/>
      </c>
      <c r="L212" s="3" t="str">
        <f t="shared" ca="1" si="10"/>
        <v>CRITICO(MAS 30 DIAS)</v>
      </c>
    </row>
    <row r="213" spans="1:12" ht="15.75" x14ac:dyDescent="0.25">
      <c r="A213" s="3" t="str">
        <f t="shared" si="11"/>
        <v>ene</v>
      </c>
      <c r="J213" s="29" t="s">
        <v>320</v>
      </c>
      <c r="K213" s="14" t="str">
        <f t="shared" si="9"/>
        <v/>
      </c>
      <c r="L213" s="3" t="str">
        <f t="shared" ca="1" si="10"/>
        <v>CRITICO(MAS 30 DIAS)</v>
      </c>
    </row>
    <row r="214" spans="1:12" ht="15.75" x14ac:dyDescent="0.25">
      <c r="A214" s="3" t="str">
        <f t="shared" si="11"/>
        <v>ene</v>
      </c>
      <c r="J214" s="29" t="s">
        <v>573</v>
      </c>
      <c r="K214" s="14" t="str">
        <f t="shared" si="9"/>
        <v/>
      </c>
      <c r="L214" s="3" t="str">
        <f t="shared" ca="1" si="10"/>
        <v>CRITICO(MAS 30 DIAS)</v>
      </c>
    </row>
    <row r="215" spans="1:12" ht="15.75" x14ac:dyDescent="0.25">
      <c r="A215" s="3" t="str">
        <f t="shared" si="11"/>
        <v>ene</v>
      </c>
      <c r="J215" s="29" t="s">
        <v>574</v>
      </c>
      <c r="K215" s="14" t="str">
        <f t="shared" si="9"/>
        <v/>
      </c>
      <c r="L215" s="3" t="str">
        <f t="shared" ca="1" si="10"/>
        <v>CRITICO(MAS 30 DIAS)</v>
      </c>
    </row>
    <row r="216" spans="1:12" ht="15.75" x14ac:dyDescent="0.25">
      <c r="A216" s="3" t="str">
        <f t="shared" si="11"/>
        <v>ene</v>
      </c>
      <c r="J216" s="29" t="s">
        <v>575</v>
      </c>
      <c r="K216" s="14" t="str">
        <f t="shared" si="9"/>
        <v/>
      </c>
      <c r="L216" s="3" t="str">
        <f t="shared" ca="1" si="10"/>
        <v>CRITICO(MAS 30 DIAS)</v>
      </c>
    </row>
    <row r="217" spans="1:12" ht="15.75" x14ac:dyDescent="0.25">
      <c r="A217" s="3" t="str">
        <f t="shared" si="11"/>
        <v>ene</v>
      </c>
      <c r="J217" s="29" t="s">
        <v>576</v>
      </c>
      <c r="K217" s="14" t="str">
        <f t="shared" si="9"/>
        <v/>
      </c>
      <c r="L217" s="3" t="str">
        <f t="shared" ca="1" si="10"/>
        <v>CRITICO(MAS 30 DIAS)</v>
      </c>
    </row>
    <row r="218" spans="1:12" ht="15.75" x14ac:dyDescent="0.25">
      <c r="A218" s="3" t="str">
        <f t="shared" si="11"/>
        <v>ene</v>
      </c>
      <c r="J218" s="29" t="s">
        <v>577</v>
      </c>
      <c r="K218" s="14" t="str">
        <f t="shared" si="9"/>
        <v/>
      </c>
      <c r="L218" s="3" t="str">
        <f t="shared" ca="1" si="10"/>
        <v>CRITICO(MAS 30 DIAS)</v>
      </c>
    </row>
    <row r="219" spans="1:12" ht="15.75" x14ac:dyDescent="0.25">
      <c r="A219" s="3" t="str">
        <f t="shared" si="11"/>
        <v>ene</v>
      </c>
      <c r="J219" s="29" t="s">
        <v>316</v>
      </c>
      <c r="K219" s="14" t="str">
        <f t="shared" si="9"/>
        <v/>
      </c>
      <c r="L219" s="3" t="str">
        <f t="shared" ca="1" si="10"/>
        <v>CRITICO(MAS 30 DIAS)</v>
      </c>
    </row>
    <row r="220" spans="1:12" ht="15.75" x14ac:dyDescent="0.25">
      <c r="A220" s="3" t="str">
        <f t="shared" si="11"/>
        <v>ene</v>
      </c>
      <c r="J220" s="29" t="s">
        <v>317</v>
      </c>
      <c r="K220" s="14" t="str">
        <f t="shared" si="9"/>
        <v/>
      </c>
      <c r="L220" s="3" t="str">
        <f t="shared" ca="1" si="10"/>
        <v>CRITICO(MAS 30 DIAS)</v>
      </c>
    </row>
    <row r="221" spans="1:12" ht="15.75" x14ac:dyDescent="0.25">
      <c r="A221" s="3" t="str">
        <f t="shared" si="11"/>
        <v>ene</v>
      </c>
      <c r="J221" s="29" t="s">
        <v>275</v>
      </c>
      <c r="K221" s="14" t="str">
        <f t="shared" si="9"/>
        <v/>
      </c>
      <c r="L221" s="3" t="str">
        <f t="shared" ca="1" si="10"/>
        <v>CRITICO(MAS 30 DIAS)</v>
      </c>
    </row>
    <row r="222" spans="1:12" ht="15.75" x14ac:dyDescent="0.25">
      <c r="A222" s="3" t="str">
        <f t="shared" si="11"/>
        <v>ene</v>
      </c>
      <c r="J222" s="29" t="s">
        <v>578</v>
      </c>
      <c r="K222" s="14" t="str">
        <f t="shared" si="9"/>
        <v/>
      </c>
      <c r="L222" s="3" t="str">
        <f t="shared" ca="1" si="10"/>
        <v>CRITICO(MAS 30 DIAS)</v>
      </c>
    </row>
    <row r="223" spans="1:12" ht="15.75" x14ac:dyDescent="0.25">
      <c r="A223" s="3" t="str">
        <f t="shared" si="11"/>
        <v>ene</v>
      </c>
      <c r="J223" s="29" t="s">
        <v>321</v>
      </c>
      <c r="K223" s="14" t="str">
        <f t="shared" si="9"/>
        <v/>
      </c>
      <c r="L223" s="3" t="str">
        <f t="shared" ca="1" si="10"/>
        <v>CRITICO(MAS 30 DIAS)</v>
      </c>
    </row>
    <row r="224" spans="1:12" ht="15.75" x14ac:dyDescent="0.25">
      <c r="A224" s="3" t="str">
        <f t="shared" si="11"/>
        <v>ene</v>
      </c>
      <c r="J224" s="29" t="s">
        <v>322</v>
      </c>
      <c r="K224" s="14" t="str">
        <f t="shared" si="9"/>
        <v/>
      </c>
      <c r="L224" s="3" t="str">
        <f t="shared" ca="1" si="10"/>
        <v>CRITICO(MAS 30 DIAS)</v>
      </c>
    </row>
    <row r="225" spans="1:12" ht="15.75" x14ac:dyDescent="0.25">
      <c r="A225" s="3" t="str">
        <f t="shared" si="11"/>
        <v>ene</v>
      </c>
      <c r="J225" s="29" t="s">
        <v>579</v>
      </c>
      <c r="K225" s="14" t="str">
        <f t="shared" si="9"/>
        <v/>
      </c>
      <c r="L225" s="3" t="str">
        <f t="shared" ca="1" si="10"/>
        <v>CRITICO(MAS 30 DIAS)</v>
      </c>
    </row>
    <row r="226" spans="1:12" ht="15.75" x14ac:dyDescent="0.25">
      <c r="A226" s="3" t="str">
        <f t="shared" si="11"/>
        <v>ene</v>
      </c>
      <c r="J226" s="29" t="s">
        <v>580</v>
      </c>
      <c r="K226" s="14" t="str">
        <f t="shared" si="9"/>
        <v/>
      </c>
      <c r="L226" s="3" t="str">
        <f t="shared" ca="1" si="10"/>
        <v>CRITICO(MAS 30 DIAS)</v>
      </c>
    </row>
    <row r="227" spans="1:12" ht="15.75" x14ac:dyDescent="0.25">
      <c r="A227" s="3" t="str">
        <f t="shared" si="11"/>
        <v>ene</v>
      </c>
      <c r="J227" s="29" t="s">
        <v>581</v>
      </c>
      <c r="K227" s="14" t="str">
        <f t="shared" si="9"/>
        <v/>
      </c>
      <c r="L227" s="3" t="str">
        <f t="shared" ca="1" si="10"/>
        <v>CRITICO(MAS 30 DIAS)</v>
      </c>
    </row>
    <row r="228" spans="1:12" ht="15.75" x14ac:dyDescent="0.25">
      <c r="A228" s="3" t="str">
        <f t="shared" si="11"/>
        <v>ene</v>
      </c>
      <c r="J228" s="29" t="s">
        <v>78</v>
      </c>
      <c r="K228" s="14" t="str">
        <f t="shared" si="9"/>
        <v/>
      </c>
      <c r="L228" s="3" t="str">
        <f t="shared" ca="1" si="10"/>
        <v>CRITICO(MAS 30 DIAS)</v>
      </c>
    </row>
    <row r="229" spans="1:12" ht="15.75" x14ac:dyDescent="0.25">
      <c r="A229" s="3" t="str">
        <f t="shared" si="11"/>
        <v>ene</v>
      </c>
      <c r="J229" s="29" t="s">
        <v>582</v>
      </c>
      <c r="K229" s="14" t="str">
        <f t="shared" si="9"/>
        <v/>
      </c>
      <c r="L229" s="3" t="str">
        <f t="shared" ca="1" si="10"/>
        <v>CRITICO(MAS 30 DIAS)</v>
      </c>
    </row>
    <row r="230" spans="1:12" ht="15.75" x14ac:dyDescent="0.25">
      <c r="A230" s="3" t="str">
        <f t="shared" si="11"/>
        <v>ene</v>
      </c>
      <c r="J230" s="29" t="s">
        <v>323</v>
      </c>
      <c r="K230" s="14" t="str">
        <f t="shared" si="9"/>
        <v/>
      </c>
      <c r="L230" s="3" t="str">
        <f t="shared" ca="1" si="10"/>
        <v>CRITICO(MAS 30 DIAS)</v>
      </c>
    </row>
    <row r="231" spans="1:12" ht="15.75" x14ac:dyDescent="0.25">
      <c r="A231" s="3" t="str">
        <f t="shared" si="11"/>
        <v>ene</v>
      </c>
      <c r="J231" s="29" t="s">
        <v>311</v>
      </c>
      <c r="K231" s="14" t="str">
        <f t="shared" si="9"/>
        <v/>
      </c>
      <c r="L231" s="3" t="str">
        <f t="shared" ca="1" si="10"/>
        <v>CRITICO(MAS 30 DIAS)</v>
      </c>
    </row>
    <row r="232" spans="1:12" ht="15.75" x14ac:dyDescent="0.25">
      <c r="A232" s="3" t="str">
        <f t="shared" si="11"/>
        <v>ene</v>
      </c>
      <c r="J232" s="29" t="s">
        <v>230</v>
      </c>
      <c r="K232" s="14" t="str">
        <f t="shared" si="9"/>
        <v/>
      </c>
      <c r="L232" s="3" t="str">
        <f t="shared" ca="1" si="10"/>
        <v>CRITICO(MAS 30 DIAS)</v>
      </c>
    </row>
    <row r="233" spans="1:12" ht="15.75" x14ac:dyDescent="0.25">
      <c r="A233" s="3" t="str">
        <f t="shared" si="11"/>
        <v>ene</v>
      </c>
      <c r="J233" s="29" t="s">
        <v>223</v>
      </c>
      <c r="K233" s="14" t="str">
        <f t="shared" si="9"/>
        <v/>
      </c>
      <c r="L233" s="3" t="str">
        <f t="shared" ca="1" si="10"/>
        <v>CRITICO(MAS 30 DIAS)</v>
      </c>
    </row>
    <row r="234" spans="1:12" ht="15.75" x14ac:dyDescent="0.25">
      <c r="A234" s="3" t="str">
        <f t="shared" si="11"/>
        <v>ene</v>
      </c>
      <c r="J234" s="29" t="s">
        <v>583</v>
      </c>
      <c r="K234" s="14" t="str">
        <f t="shared" si="9"/>
        <v/>
      </c>
      <c r="L234" s="3" t="str">
        <f t="shared" ca="1" si="10"/>
        <v>CRITICO(MAS 30 DIAS)</v>
      </c>
    </row>
    <row r="235" spans="1:12" ht="15.75" x14ac:dyDescent="0.25">
      <c r="A235" s="3" t="str">
        <f t="shared" si="11"/>
        <v>ene</v>
      </c>
      <c r="J235" s="29" t="s">
        <v>324</v>
      </c>
      <c r="K235" s="14" t="str">
        <f t="shared" si="9"/>
        <v/>
      </c>
      <c r="L235" s="3" t="str">
        <f t="shared" ca="1" si="10"/>
        <v>CRITICO(MAS 30 DIAS)</v>
      </c>
    </row>
    <row r="236" spans="1:12" ht="15.75" x14ac:dyDescent="0.25">
      <c r="A236" s="3" t="str">
        <f t="shared" si="11"/>
        <v>ene</v>
      </c>
      <c r="J236" s="29" t="s">
        <v>70</v>
      </c>
      <c r="K236" s="14" t="str">
        <f t="shared" si="9"/>
        <v/>
      </c>
      <c r="L236" s="3" t="str">
        <f t="shared" ca="1" si="10"/>
        <v>CRITICO(MAS 30 DIAS)</v>
      </c>
    </row>
    <row r="237" spans="1:12" ht="15.75" x14ac:dyDescent="0.25">
      <c r="A237" s="3" t="str">
        <f t="shared" si="11"/>
        <v>ene</v>
      </c>
      <c r="J237" s="29" t="s">
        <v>8</v>
      </c>
      <c r="K237" s="14" t="str">
        <f t="shared" si="9"/>
        <v/>
      </c>
      <c r="L237" s="3" t="str">
        <f t="shared" ca="1" si="10"/>
        <v>CRITICO(MAS 30 DIAS)</v>
      </c>
    </row>
    <row r="238" spans="1:12" ht="15.75" x14ac:dyDescent="0.25">
      <c r="A238" s="3" t="str">
        <f t="shared" si="11"/>
        <v>ene</v>
      </c>
      <c r="J238" s="29" t="s">
        <v>155</v>
      </c>
      <c r="K238" s="14" t="str">
        <f t="shared" si="9"/>
        <v/>
      </c>
      <c r="L238" s="3" t="str">
        <f t="shared" ca="1" si="10"/>
        <v>CRITICO(MAS 30 DIAS)</v>
      </c>
    </row>
    <row r="239" spans="1:12" ht="15.75" x14ac:dyDescent="0.25">
      <c r="A239" s="3" t="str">
        <f t="shared" si="11"/>
        <v>ene</v>
      </c>
      <c r="J239" s="29" t="s">
        <v>584</v>
      </c>
      <c r="K239" s="14" t="str">
        <f t="shared" si="9"/>
        <v/>
      </c>
      <c r="L239" s="3" t="str">
        <f t="shared" ca="1" si="10"/>
        <v>CRITICO(MAS 30 DIAS)</v>
      </c>
    </row>
    <row r="240" spans="1:12" x14ac:dyDescent="0.25">
      <c r="A240" s="3" t="str">
        <f t="shared" si="11"/>
        <v>ene</v>
      </c>
      <c r="J240" s="3" t="s">
        <v>216</v>
      </c>
      <c r="K240" s="14" t="str">
        <f t="shared" si="9"/>
        <v/>
      </c>
      <c r="L240" s="3" t="str">
        <f t="shared" ca="1" si="10"/>
        <v>CRITICO(MAS 30 DIAS)</v>
      </c>
    </row>
    <row r="241" spans="1:12" x14ac:dyDescent="0.25">
      <c r="A241" s="3" t="str">
        <f t="shared" si="11"/>
        <v>ene</v>
      </c>
      <c r="J241" s="3" t="s">
        <v>585</v>
      </c>
      <c r="K241" s="14" t="str">
        <f t="shared" si="9"/>
        <v/>
      </c>
      <c r="L241" s="3" t="str">
        <f t="shared" ca="1" si="10"/>
        <v>CRITICO(MAS 30 DIAS)</v>
      </c>
    </row>
    <row r="242" spans="1:12" x14ac:dyDescent="0.25">
      <c r="A242" s="3" t="str">
        <f t="shared" si="11"/>
        <v>ene</v>
      </c>
      <c r="J242" s="3" t="s">
        <v>14</v>
      </c>
      <c r="K242" s="14" t="str">
        <f t="shared" si="9"/>
        <v/>
      </c>
      <c r="L242" s="3" t="str">
        <f t="shared" ca="1" si="10"/>
        <v>CRITICO(MAS 30 DIAS)</v>
      </c>
    </row>
    <row r="243" spans="1:12" x14ac:dyDescent="0.25">
      <c r="A243" s="3" t="str">
        <f t="shared" si="11"/>
        <v>ene</v>
      </c>
      <c r="J243" s="3" t="s">
        <v>440</v>
      </c>
      <c r="K243" s="14" t="str">
        <f t="shared" si="9"/>
        <v/>
      </c>
      <c r="L243" s="3" t="str">
        <f t="shared" ca="1" si="10"/>
        <v>CRITICO(MAS 30 DIAS)</v>
      </c>
    </row>
    <row r="244" spans="1:12" x14ac:dyDescent="0.25">
      <c r="A244" s="3" t="str">
        <f t="shared" si="11"/>
        <v>ene</v>
      </c>
      <c r="J244" s="3" t="s">
        <v>227</v>
      </c>
      <c r="K244" s="14" t="str">
        <f t="shared" si="9"/>
        <v/>
      </c>
      <c r="L244" s="3" t="str">
        <f t="shared" ca="1" si="10"/>
        <v>CRITICO(MAS 30 DIAS)</v>
      </c>
    </row>
    <row r="245" spans="1:12" x14ac:dyDescent="0.25">
      <c r="A245" s="3" t="str">
        <f t="shared" si="11"/>
        <v>ene</v>
      </c>
      <c r="J245" s="3" t="s">
        <v>231</v>
      </c>
      <c r="K245" s="14" t="str">
        <f t="shared" si="9"/>
        <v/>
      </c>
      <c r="L245" s="3" t="str">
        <f t="shared" ca="1" si="10"/>
        <v>CRITICO(MAS 30 DIAS)</v>
      </c>
    </row>
    <row r="246" spans="1:12" x14ac:dyDescent="0.25">
      <c r="A246" s="3" t="str">
        <f t="shared" si="11"/>
        <v>ene</v>
      </c>
      <c r="J246" s="3" t="s">
        <v>586</v>
      </c>
      <c r="K246" s="14" t="str">
        <f t="shared" si="9"/>
        <v/>
      </c>
      <c r="L246" s="3" t="str">
        <f t="shared" ca="1" si="10"/>
        <v>CRITICO(MAS 30 DIAS)</v>
      </c>
    </row>
    <row r="247" spans="1:12" x14ac:dyDescent="0.25">
      <c r="A247" s="3" t="str">
        <f t="shared" si="11"/>
        <v>ene</v>
      </c>
      <c r="J247" s="3" t="s">
        <v>587</v>
      </c>
      <c r="K247" s="14" t="str">
        <f t="shared" si="9"/>
        <v/>
      </c>
      <c r="L247" s="3" t="str">
        <f t="shared" ca="1" si="10"/>
        <v>CRITICO(MAS 30 DIAS)</v>
      </c>
    </row>
    <row r="248" spans="1:12" x14ac:dyDescent="0.25">
      <c r="A248" s="3" t="str">
        <f t="shared" si="11"/>
        <v>ene</v>
      </c>
      <c r="J248" s="3" t="s">
        <v>588</v>
      </c>
      <c r="K248" s="14" t="str">
        <f t="shared" si="9"/>
        <v/>
      </c>
      <c r="L248" s="3" t="str">
        <f t="shared" ca="1" si="10"/>
        <v>CRITICO(MAS 30 DIAS)</v>
      </c>
    </row>
    <row r="249" spans="1:12" x14ac:dyDescent="0.25">
      <c r="A249" s="3" t="str">
        <f t="shared" si="11"/>
        <v>ene</v>
      </c>
      <c r="J249" s="3" t="s">
        <v>589</v>
      </c>
      <c r="K249" s="14" t="str">
        <f t="shared" si="9"/>
        <v/>
      </c>
      <c r="L249" s="3" t="str">
        <f t="shared" ca="1" si="10"/>
        <v>CRITICO(MAS 30 DIAS)</v>
      </c>
    </row>
    <row r="250" spans="1:12" x14ac:dyDescent="0.25">
      <c r="A250" s="3" t="str">
        <f t="shared" si="11"/>
        <v>ene</v>
      </c>
      <c r="J250" s="3" t="s">
        <v>220</v>
      </c>
      <c r="K250" s="14" t="str">
        <f t="shared" si="9"/>
        <v/>
      </c>
      <c r="L250" s="3" t="str">
        <f t="shared" ca="1" si="10"/>
        <v>CRITICO(MAS 30 DIAS)</v>
      </c>
    </row>
    <row r="251" spans="1:12" x14ac:dyDescent="0.25">
      <c r="A251" s="3" t="str">
        <f t="shared" si="11"/>
        <v>ene</v>
      </c>
      <c r="J251" s="3" t="s">
        <v>157</v>
      </c>
      <c r="K251" s="14" t="str">
        <f t="shared" si="9"/>
        <v/>
      </c>
      <c r="L251" s="3" t="str">
        <f t="shared" ca="1" si="10"/>
        <v>CRITICO(MAS 30 DIAS)</v>
      </c>
    </row>
    <row r="252" spans="1:12" x14ac:dyDescent="0.25">
      <c r="A252" s="3" t="str">
        <f t="shared" si="11"/>
        <v>ene</v>
      </c>
      <c r="J252" s="3" t="s">
        <v>590</v>
      </c>
      <c r="K252" s="14" t="str">
        <f t="shared" si="9"/>
        <v/>
      </c>
      <c r="L252" s="3" t="str">
        <f t="shared" ca="1" si="10"/>
        <v>CRITICO(MAS 30 DIAS)</v>
      </c>
    </row>
    <row r="253" spans="1:12" x14ac:dyDescent="0.25">
      <c r="A253" s="3" t="str">
        <f t="shared" si="11"/>
        <v>ene</v>
      </c>
      <c r="J253" s="3" t="s">
        <v>217</v>
      </c>
      <c r="K253" s="14" t="str">
        <f t="shared" si="9"/>
        <v/>
      </c>
      <c r="L253" s="3" t="str">
        <f t="shared" ca="1" si="10"/>
        <v>CRITICO(MAS 30 DIAS)</v>
      </c>
    </row>
    <row r="254" spans="1:12" x14ac:dyDescent="0.25">
      <c r="A254" s="3" t="str">
        <f t="shared" si="11"/>
        <v>ene</v>
      </c>
      <c r="J254" s="3" t="s">
        <v>384</v>
      </c>
      <c r="K254" s="14" t="str">
        <f t="shared" si="9"/>
        <v/>
      </c>
      <c r="L254" s="3" t="str">
        <f t="shared" ca="1" si="10"/>
        <v>CRITICO(MAS 30 DIAS)</v>
      </c>
    </row>
    <row r="255" spans="1:12" x14ac:dyDescent="0.25">
      <c r="A255" s="3" t="str">
        <f t="shared" si="11"/>
        <v>ene</v>
      </c>
      <c r="J255" s="3" t="s">
        <v>591</v>
      </c>
      <c r="K255" s="14" t="str">
        <f t="shared" si="9"/>
        <v/>
      </c>
      <c r="L255" s="3" t="str">
        <f t="shared" ca="1" si="10"/>
        <v>CRITICO(MAS 30 DIAS)</v>
      </c>
    </row>
    <row r="256" spans="1:12" x14ac:dyDescent="0.25">
      <c r="A256" s="3" t="str">
        <f t="shared" si="11"/>
        <v>ene</v>
      </c>
      <c r="J256" s="3" t="s">
        <v>445</v>
      </c>
      <c r="K256" s="14" t="str">
        <f t="shared" si="9"/>
        <v/>
      </c>
      <c r="L256" s="3" t="str">
        <f t="shared" ca="1" si="10"/>
        <v>CRITICO(MAS 30 DIAS)</v>
      </c>
    </row>
    <row r="257" spans="1:12" x14ac:dyDescent="0.25">
      <c r="A257" s="3" t="str">
        <f t="shared" si="11"/>
        <v>ene</v>
      </c>
      <c r="J257" s="3" t="s">
        <v>592</v>
      </c>
      <c r="K257" s="14" t="str">
        <f t="shared" si="9"/>
        <v/>
      </c>
      <c r="L257" s="3" t="str">
        <f t="shared" ca="1" si="10"/>
        <v>CRITICO(MAS 30 DIAS)</v>
      </c>
    </row>
    <row r="258" spans="1:12" x14ac:dyDescent="0.25">
      <c r="A258" s="3" t="str">
        <f t="shared" si="11"/>
        <v>ene</v>
      </c>
      <c r="J258" s="3" t="s">
        <v>593</v>
      </c>
      <c r="K258" s="14" t="str">
        <f t="shared" si="9"/>
        <v/>
      </c>
      <c r="L258" s="3" t="str">
        <f t="shared" ca="1" si="10"/>
        <v>CRITICO(MAS 30 DIAS)</v>
      </c>
    </row>
    <row r="259" spans="1:12" x14ac:dyDescent="0.25">
      <c r="A259" s="3" t="str">
        <f t="shared" si="11"/>
        <v>ene</v>
      </c>
      <c r="J259" s="3" t="s">
        <v>594</v>
      </c>
      <c r="K259" s="14" t="str">
        <f t="shared" si="9"/>
        <v/>
      </c>
      <c r="L259" s="3" t="str">
        <f t="shared" ca="1" si="10"/>
        <v>CRITICO(MAS 30 DIAS)</v>
      </c>
    </row>
    <row r="260" spans="1:12" x14ac:dyDescent="0.25">
      <c r="A260" s="3" t="str">
        <f t="shared" si="11"/>
        <v>ene</v>
      </c>
      <c r="J260" s="3" t="s">
        <v>219</v>
      </c>
      <c r="K260" s="14" t="str">
        <f t="shared" ref="K260:K270" si="12">IFERROR(LOOKUP(2,1/($B$3:$B$1001=J260),$D$3:$D$1001),"")</f>
        <v/>
      </c>
      <c r="L260" s="3" t="str">
        <f t="shared" ref="L260:L270" ca="1" si="13">IF(OR(K260="",K260=0),"CRITICO(MAS 30 DIAS)",IF(TODAY()-K260&gt;=30,"CRITICO(MAS 30 DIAS)",IF(TODAY()-K260&gt;=15,"POR REALIZAR(ALERTA)","AL DIA (MENOS 10 DIAS)")))</f>
        <v>CRITICO(MAS 30 DIAS)</v>
      </c>
    </row>
    <row r="261" spans="1:12" x14ac:dyDescent="0.25">
      <c r="A261" s="3" t="str">
        <f t="shared" si="11"/>
        <v>ene</v>
      </c>
      <c r="J261" s="3" t="s">
        <v>595</v>
      </c>
      <c r="K261" s="14" t="str">
        <f t="shared" si="12"/>
        <v/>
      </c>
      <c r="L261" s="3" t="str">
        <f t="shared" ca="1" si="13"/>
        <v>CRITICO(MAS 30 DIAS)</v>
      </c>
    </row>
    <row r="262" spans="1:12" x14ac:dyDescent="0.25">
      <c r="A262" s="3" t="str">
        <f t="shared" ref="A262:A325" si="14">TEXT($D262,"mmm")</f>
        <v>ene</v>
      </c>
      <c r="J262" s="3" t="s">
        <v>596</v>
      </c>
      <c r="K262" s="14" t="str">
        <f t="shared" si="12"/>
        <v/>
      </c>
      <c r="L262" s="3" t="str">
        <f t="shared" ca="1" si="13"/>
        <v>CRITICO(MAS 30 DIAS)</v>
      </c>
    </row>
    <row r="263" spans="1:12" x14ac:dyDescent="0.25">
      <c r="A263" s="3" t="str">
        <f t="shared" si="14"/>
        <v>ene</v>
      </c>
      <c r="J263" s="3" t="s">
        <v>263</v>
      </c>
      <c r="K263" s="14" t="str">
        <f t="shared" si="12"/>
        <v/>
      </c>
      <c r="L263" s="3" t="str">
        <f t="shared" ca="1" si="13"/>
        <v>CRITICO(MAS 30 DIAS)</v>
      </c>
    </row>
    <row r="264" spans="1:12" x14ac:dyDescent="0.25">
      <c r="A264" s="3" t="str">
        <f t="shared" si="14"/>
        <v>ene</v>
      </c>
      <c r="J264" s="3" t="s">
        <v>597</v>
      </c>
      <c r="K264" s="14" t="str">
        <f t="shared" si="12"/>
        <v/>
      </c>
      <c r="L264" s="3" t="str">
        <f t="shared" ca="1" si="13"/>
        <v>CRITICO(MAS 30 DIAS)</v>
      </c>
    </row>
    <row r="265" spans="1:12" x14ac:dyDescent="0.25">
      <c r="A265" s="3" t="str">
        <f t="shared" si="14"/>
        <v>ene</v>
      </c>
      <c r="J265" s="3" t="s">
        <v>598</v>
      </c>
      <c r="K265" s="14" t="str">
        <f t="shared" si="12"/>
        <v/>
      </c>
      <c r="L265" s="3" t="str">
        <f t="shared" ca="1" si="13"/>
        <v>CRITICO(MAS 30 DIAS)</v>
      </c>
    </row>
    <row r="266" spans="1:12" x14ac:dyDescent="0.25">
      <c r="A266" s="3" t="str">
        <f t="shared" si="14"/>
        <v>ene</v>
      </c>
      <c r="J266" s="3" t="s">
        <v>599</v>
      </c>
      <c r="K266" s="14" t="str">
        <f t="shared" si="12"/>
        <v/>
      </c>
      <c r="L266" s="3" t="str">
        <f t="shared" ca="1" si="13"/>
        <v>CRITICO(MAS 30 DIAS)</v>
      </c>
    </row>
    <row r="267" spans="1:12" x14ac:dyDescent="0.25">
      <c r="A267" s="3" t="str">
        <f t="shared" si="14"/>
        <v>ene</v>
      </c>
      <c r="J267" s="3" t="s">
        <v>600</v>
      </c>
      <c r="K267" s="14" t="str">
        <f t="shared" si="12"/>
        <v/>
      </c>
      <c r="L267" s="3" t="str">
        <f t="shared" ca="1" si="13"/>
        <v>CRITICO(MAS 30 DIAS)</v>
      </c>
    </row>
    <row r="268" spans="1:12" x14ac:dyDescent="0.25">
      <c r="A268" s="3" t="str">
        <f t="shared" si="14"/>
        <v>ene</v>
      </c>
      <c r="J268" s="3" t="s">
        <v>601</v>
      </c>
      <c r="K268" s="14" t="str">
        <f t="shared" si="12"/>
        <v/>
      </c>
      <c r="L268" s="3" t="str">
        <f t="shared" ca="1" si="13"/>
        <v>CRITICO(MAS 30 DIAS)</v>
      </c>
    </row>
    <row r="269" spans="1:12" x14ac:dyDescent="0.25">
      <c r="A269" s="3" t="str">
        <f t="shared" si="14"/>
        <v>ene</v>
      </c>
      <c r="J269" s="3" t="s">
        <v>38</v>
      </c>
      <c r="K269" s="14" t="str">
        <f t="shared" si="12"/>
        <v/>
      </c>
      <c r="L269" s="3" t="str">
        <f t="shared" ca="1" si="13"/>
        <v>CRITICO(MAS 30 DIAS)</v>
      </c>
    </row>
    <row r="270" spans="1:12" ht="15.75" x14ac:dyDescent="0.25">
      <c r="A270" s="3" t="str">
        <f t="shared" si="14"/>
        <v>ene</v>
      </c>
      <c r="J270" s="29" t="s">
        <v>155</v>
      </c>
      <c r="K270" s="14" t="str">
        <f t="shared" si="12"/>
        <v/>
      </c>
      <c r="L270" s="3" t="str">
        <f t="shared" ca="1" si="13"/>
        <v>CRITICO(MAS 30 DIAS)</v>
      </c>
    </row>
    <row r="271" spans="1:12" x14ac:dyDescent="0.25">
      <c r="A271" s="3" t="str">
        <f t="shared" si="14"/>
        <v>ene</v>
      </c>
    </row>
    <row r="272" spans="1:12" x14ac:dyDescent="0.25">
      <c r="A272" s="3" t="str">
        <f t="shared" si="14"/>
        <v>ene</v>
      </c>
    </row>
    <row r="273" spans="1:1" x14ac:dyDescent="0.25">
      <c r="A273" s="3" t="str">
        <f t="shared" si="14"/>
        <v>ene</v>
      </c>
    </row>
    <row r="274" spans="1:1" x14ac:dyDescent="0.25">
      <c r="A274" s="3" t="str">
        <f t="shared" si="14"/>
        <v>ene</v>
      </c>
    </row>
    <row r="275" spans="1:1" x14ac:dyDescent="0.25">
      <c r="A275" s="3" t="str">
        <f t="shared" si="14"/>
        <v>ene</v>
      </c>
    </row>
    <row r="276" spans="1:1" x14ac:dyDescent="0.25">
      <c r="A276" s="3" t="str">
        <f t="shared" si="14"/>
        <v>ene</v>
      </c>
    </row>
    <row r="277" spans="1:1" x14ac:dyDescent="0.25">
      <c r="A277" s="3" t="str">
        <f t="shared" si="14"/>
        <v>ene</v>
      </c>
    </row>
    <row r="278" spans="1:1" x14ac:dyDescent="0.25">
      <c r="A278" s="3" t="str">
        <f t="shared" si="14"/>
        <v>ene</v>
      </c>
    </row>
    <row r="279" spans="1:1" x14ac:dyDescent="0.25">
      <c r="A279" s="3" t="str">
        <f t="shared" si="14"/>
        <v>ene</v>
      </c>
    </row>
    <row r="280" spans="1:1" x14ac:dyDescent="0.25">
      <c r="A280" s="3" t="str">
        <f t="shared" si="14"/>
        <v>ene</v>
      </c>
    </row>
    <row r="281" spans="1:1" x14ac:dyDescent="0.25">
      <c r="A281" s="3" t="str">
        <f t="shared" si="14"/>
        <v>ene</v>
      </c>
    </row>
    <row r="282" spans="1:1" x14ac:dyDescent="0.25">
      <c r="A282" s="3" t="str">
        <f t="shared" si="14"/>
        <v>ene</v>
      </c>
    </row>
    <row r="283" spans="1:1" x14ac:dyDescent="0.25">
      <c r="A283" s="3" t="str">
        <f t="shared" si="14"/>
        <v>ene</v>
      </c>
    </row>
    <row r="284" spans="1:1" x14ac:dyDescent="0.25">
      <c r="A284" s="3" t="str">
        <f t="shared" si="14"/>
        <v>ene</v>
      </c>
    </row>
    <row r="285" spans="1:1" x14ac:dyDescent="0.25">
      <c r="A285" s="3" t="str">
        <f t="shared" si="14"/>
        <v>ene</v>
      </c>
    </row>
    <row r="286" spans="1:1" x14ac:dyDescent="0.25">
      <c r="A286" s="3" t="str">
        <f t="shared" si="14"/>
        <v>ene</v>
      </c>
    </row>
    <row r="287" spans="1:1" x14ac:dyDescent="0.25">
      <c r="A287" s="3" t="str">
        <f t="shared" si="14"/>
        <v>ene</v>
      </c>
    </row>
    <row r="288" spans="1:1" x14ac:dyDescent="0.25">
      <c r="A288" s="3" t="str">
        <f t="shared" si="14"/>
        <v>ene</v>
      </c>
    </row>
    <row r="289" spans="1:1" x14ac:dyDescent="0.25">
      <c r="A289" s="3" t="str">
        <f t="shared" si="14"/>
        <v>ene</v>
      </c>
    </row>
    <row r="290" spans="1:1" x14ac:dyDescent="0.25">
      <c r="A290" s="3" t="str">
        <f t="shared" si="14"/>
        <v>ene</v>
      </c>
    </row>
    <row r="291" spans="1:1" x14ac:dyDescent="0.25">
      <c r="A291" s="3" t="str">
        <f t="shared" si="14"/>
        <v>ene</v>
      </c>
    </row>
    <row r="292" spans="1:1" x14ac:dyDescent="0.25">
      <c r="A292" s="3" t="str">
        <f t="shared" si="14"/>
        <v>ene</v>
      </c>
    </row>
    <row r="293" spans="1:1" x14ac:dyDescent="0.25">
      <c r="A293" s="3" t="str">
        <f t="shared" si="14"/>
        <v>ene</v>
      </c>
    </row>
    <row r="294" spans="1:1" x14ac:dyDescent="0.25">
      <c r="A294" s="3" t="str">
        <f t="shared" si="14"/>
        <v>ene</v>
      </c>
    </row>
    <row r="295" spans="1:1" x14ac:dyDescent="0.25">
      <c r="A295" s="3" t="str">
        <f t="shared" si="14"/>
        <v>ene</v>
      </c>
    </row>
    <row r="296" spans="1:1" x14ac:dyDescent="0.25">
      <c r="A296" s="3" t="str">
        <f t="shared" si="14"/>
        <v>ene</v>
      </c>
    </row>
    <row r="297" spans="1:1" x14ac:dyDescent="0.25">
      <c r="A297" s="3" t="str">
        <f t="shared" si="14"/>
        <v>ene</v>
      </c>
    </row>
    <row r="298" spans="1:1" x14ac:dyDescent="0.25">
      <c r="A298" s="3" t="str">
        <f t="shared" si="14"/>
        <v>ene</v>
      </c>
    </row>
    <row r="299" spans="1:1" x14ac:dyDescent="0.25">
      <c r="A299" s="3" t="str">
        <f t="shared" si="14"/>
        <v>ene</v>
      </c>
    </row>
    <row r="300" spans="1:1" x14ac:dyDescent="0.25">
      <c r="A300" s="3" t="str">
        <f t="shared" si="14"/>
        <v>ene</v>
      </c>
    </row>
    <row r="301" spans="1:1" x14ac:dyDescent="0.25">
      <c r="A301" s="3" t="str">
        <f t="shared" si="14"/>
        <v>ene</v>
      </c>
    </row>
    <row r="302" spans="1:1" x14ac:dyDescent="0.25">
      <c r="A302" s="3" t="str">
        <f t="shared" si="14"/>
        <v>ene</v>
      </c>
    </row>
    <row r="303" spans="1:1" x14ac:dyDescent="0.25">
      <c r="A303" s="3" t="str">
        <f t="shared" si="14"/>
        <v>ene</v>
      </c>
    </row>
    <row r="304" spans="1:1" x14ac:dyDescent="0.25">
      <c r="A304" s="3" t="str">
        <f t="shared" si="14"/>
        <v>ene</v>
      </c>
    </row>
    <row r="305" spans="1:1" x14ac:dyDescent="0.25">
      <c r="A305" s="3" t="str">
        <f t="shared" si="14"/>
        <v>ene</v>
      </c>
    </row>
    <row r="306" spans="1:1" x14ac:dyDescent="0.25">
      <c r="A306" s="3" t="str">
        <f t="shared" si="14"/>
        <v>ene</v>
      </c>
    </row>
    <row r="307" spans="1:1" x14ac:dyDescent="0.25">
      <c r="A307" s="3" t="str">
        <f t="shared" si="14"/>
        <v>ene</v>
      </c>
    </row>
    <row r="308" spans="1:1" x14ac:dyDescent="0.25">
      <c r="A308" s="3" t="str">
        <f t="shared" si="14"/>
        <v>ene</v>
      </c>
    </row>
    <row r="309" spans="1:1" x14ac:dyDescent="0.25">
      <c r="A309" s="3" t="str">
        <f t="shared" si="14"/>
        <v>ene</v>
      </c>
    </row>
    <row r="310" spans="1:1" x14ac:dyDescent="0.25">
      <c r="A310" s="3" t="str">
        <f t="shared" si="14"/>
        <v>ene</v>
      </c>
    </row>
    <row r="311" spans="1:1" x14ac:dyDescent="0.25">
      <c r="A311" s="3" t="str">
        <f t="shared" si="14"/>
        <v>ene</v>
      </c>
    </row>
    <row r="312" spans="1:1" x14ac:dyDescent="0.25">
      <c r="A312" s="3" t="str">
        <f t="shared" si="14"/>
        <v>ene</v>
      </c>
    </row>
    <row r="313" spans="1:1" x14ac:dyDescent="0.25">
      <c r="A313" s="3" t="str">
        <f t="shared" si="14"/>
        <v>ene</v>
      </c>
    </row>
    <row r="314" spans="1:1" x14ac:dyDescent="0.25">
      <c r="A314" s="3" t="str">
        <f t="shared" si="14"/>
        <v>ene</v>
      </c>
    </row>
    <row r="315" spans="1:1" x14ac:dyDescent="0.25">
      <c r="A315" s="3" t="str">
        <f t="shared" si="14"/>
        <v>ene</v>
      </c>
    </row>
    <row r="316" spans="1:1" x14ac:dyDescent="0.25">
      <c r="A316" s="3" t="str">
        <f t="shared" si="14"/>
        <v>ene</v>
      </c>
    </row>
    <row r="317" spans="1:1" x14ac:dyDescent="0.25">
      <c r="A317" s="3" t="str">
        <f t="shared" si="14"/>
        <v>ene</v>
      </c>
    </row>
    <row r="318" spans="1:1" x14ac:dyDescent="0.25">
      <c r="A318" s="3" t="str">
        <f t="shared" si="14"/>
        <v>ene</v>
      </c>
    </row>
    <row r="319" spans="1:1" x14ac:dyDescent="0.25">
      <c r="A319" s="3" t="str">
        <f t="shared" si="14"/>
        <v>ene</v>
      </c>
    </row>
    <row r="320" spans="1:1" x14ac:dyDescent="0.25">
      <c r="A320" s="3" t="str">
        <f t="shared" si="14"/>
        <v>ene</v>
      </c>
    </row>
    <row r="321" spans="1:1" x14ac:dyDescent="0.25">
      <c r="A321" s="3" t="str">
        <f t="shared" si="14"/>
        <v>ene</v>
      </c>
    </row>
    <row r="322" spans="1:1" x14ac:dyDescent="0.25">
      <c r="A322" s="3" t="str">
        <f t="shared" si="14"/>
        <v>ene</v>
      </c>
    </row>
    <row r="323" spans="1:1" x14ac:dyDescent="0.25">
      <c r="A323" s="3" t="str">
        <f t="shared" si="14"/>
        <v>ene</v>
      </c>
    </row>
    <row r="324" spans="1:1" x14ac:dyDescent="0.25">
      <c r="A324" s="3" t="str">
        <f t="shared" si="14"/>
        <v>ene</v>
      </c>
    </row>
    <row r="325" spans="1:1" x14ac:dyDescent="0.25">
      <c r="A325" s="3" t="str">
        <f t="shared" si="14"/>
        <v>ene</v>
      </c>
    </row>
    <row r="326" spans="1:1" x14ac:dyDescent="0.25">
      <c r="A326" s="3" t="str">
        <f t="shared" ref="A326:A389" si="15">TEXT($D326,"mmm")</f>
        <v>ene</v>
      </c>
    </row>
    <row r="327" spans="1:1" x14ac:dyDescent="0.25">
      <c r="A327" s="3" t="str">
        <f t="shared" si="15"/>
        <v>ene</v>
      </c>
    </row>
    <row r="328" spans="1:1" x14ac:dyDescent="0.25">
      <c r="A328" s="3" t="str">
        <f t="shared" si="15"/>
        <v>ene</v>
      </c>
    </row>
    <row r="329" spans="1:1" x14ac:dyDescent="0.25">
      <c r="A329" s="3" t="str">
        <f t="shared" si="15"/>
        <v>ene</v>
      </c>
    </row>
    <row r="330" spans="1:1" x14ac:dyDescent="0.25">
      <c r="A330" s="3" t="str">
        <f t="shared" si="15"/>
        <v>ene</v>
      </c>
    </row>
    <row r="331" spans="1:1" x14ac:dyDescent="0.25">
      <c r="A331" s="3" t="str">
        <f t="shared" si="15"/>
        <v>ene</v>
      </c>
    </row>
    <row r="332" spans="1:1" x14ac:dyDescent="0.25">
      <c r="A332" s="3" t="str">
        <f t="shared" si="15"/>
        <v>ene</v>
      </c>
    </row>
    <row r="333" spans="1:1" x14ac:dyDescent="0.25">
      <c r="A333" s="3" t="str">
        <f t="shared" si="15"/>
        <v>ene</v>
      </c>
    </row>
    <row r="334" spans="1:1" x14ac:dyDescent="0.25">
      <c r="A334" s="3" t="str">
        <f t="shared" si="15"/>
        <v>ene</v>
      </c>
    </row>
    <row r="335" spans="1:1" x14ac:dyDescent="0.25">
      <c r="A335" s="3" t="str">
        <f t="shared" si="15"/>
        <v>ene</v>
      </c>
    </row>
    <row r="336" spans="1:1" x14ac:dyDescent="0.25">
      <c r="A336" s="3" t="str">
        <f t="shared" si="15"/>
        <v>ene</v>
      </c>
    </row>
    <row r="337" spans="1:1" x14ac:dyDescent="0.25">
      <c r="A337" s="3" t="str">
        <f t="shared" si="15"/>
        <v>ene</v>
      </c>
    </row>
    <row r="338" spans="1:1" x14ac:dyDescent="0.25">
      <c r="A338" s="3" t="str">
        <f t="shared" si="15"/>
        <v>ene</v>
      </c>
    </row>
    <row r="339" spans="1:1" x14ac:dyDescent="0.25">
      <c r="A339" s="3" t="str">
        <f t="shared" si="15"/>
        <v>ene</v>
      </c>
    </row>
    <row r="340" spans="1:1" x14ac:dyDescent="0.25">
      <c r="A340" s="3" t="str">
        <f t="shared" si="15"/>
        <v>ene</v>
      </c>
    </row>
    <row r="341" spans="1:1" x14ac:dyDescent="0.25">
      <c r="A341" s="3" t="str">
        <f t="shared" si="15"/>
        <v>ene</v>
      </c>
    </row>
    <row r="342" spans="1:1" x14ac:dyDescent="0.25">
      <c r="A342" s="3" t="str">
        <f t="shared" si="15"/>
        <v>ene</v>
      </c>
    </row>
    <row r="343" spans="1:1" x14ac:dyDescent="0.25">
      <c r="A343" s="3" t="str">
        <f t="shared" si="15"/>
        <v>ene</v>
      </c>
    </row>
    <row r="344" spans="1:1" x14ac:dyDescent="0.25">
      <c r="A344" s="3" t="str">
        <f t="shared" si="15"/>
        <v>ene</v>
      </c>
    </row>
    <row r="345" spans="1:1" x14ac:dyDescent="0.25">
      <c r="A345" s="3" t="str">
        <f t="shared" si="15"/>
        <v>ene</v>
      </c>
    </row>
    <row r="346" spans="1:1" x14ac:dyDescent="0.25">
      <c r="A346" s="3" t="str">
        <f t="shared" si="15"/>
        <v>ene</v>
      </c>
    </row>
    <row r="347" spans="1:1" x14ac:dyDescent="0.25">
      <c r="A347" s="3" t="str">
        <f t="shared" si="15"/>
        <v>ene</v>
      </c>
    </row>
    <row r="348" spans="1:1" x14ac:dyDescent="0.25">
      <c r="A348" s="3" t="str">
        <f t="shared" si="15"/>
        <v>ene</v>
      </c>
    </row>
    <row r="349" spans="1:1" x14ac:dyDescent="0.25">
      <c r="A349" s="3" t="str">
        <f t="shared" si="15"/>
        <v>ene</v>
      </c>
    </row>
    <row r="350" spans="1:1" x14ac:dyDescent="0.25">
      <c r="A350" s="3" t="str">
        <f t="shared" si="15"/>
        <v>ene</v>
      </c>
    </row>
    <row r="351" spans="1:1" x14ac:dyDescent="0.25">
      <c r="A351" s="3" t="str">
        <f t="shared" si="15"/>
        <v>ene</v>
      </c>
    </row>
    <row r="352" spans="1:1" x14ac:dyDescent="0.25">
      <c r="A352" s="3" t="str">
        <f t="shared" si="15"/>
        <v>ene</v>
      </c>
    </row>
    <row r="353" spans="1:1" x14ac:dyDescent="0.25">
      <c r="A353" s="3" t="str">
        <f t="shared" si="15"/>
        <v>ene</v>
      </c>
    </row>
    <row r="354" spans="1:1" x14ac:dyDescent="0.25">
      <c r="A354" s="3" t="str">
        <f t="shared" si="15"/>
        <v>ene</v>
      </c>
    </row>
    <row r="355" spans="1:1" x14ac:dyDescent="0.25">
      <c r="A355" s="3" t="str">
        <f t="shared" si="15"/>
        <v>ene</v>
      </c>
    </row>
    <row r="356" spans="1:1" x14ac:dyDescent="0.25">
      <c r="A356" s="3" t="str">
        <f t="shared" si="15"/>
        <v>ene</v>
      </c>
    </row>
    <row r="357" spans="1:1" x14ac:dyDescent="0.25">
      <c r="A357" s="3" t="str">
        <f t="shared" si="15"/>
        <v>ene</v>
      </c>
    </row>
    <row r="358" spans="1:1" x14ac:dyDescent="0.25">
      <c r="A358" s="3" t="str">
        <f t="shared" si="15"/>
        <v>ene</v>
      </c>
    </row>
    <row r="359" spans="1:1" x14ac:dyDescent="0.25">
      <c r="A359" s="3" t="str">
        <f t="shared" si="15"/>
        <v>ene</v>
      </c>
    </row>
    <row r="360" spans="1:1" x14ac:dyDescent="0.25">
      <c r="A360" s="3" t="str">
        <f t="shared" si="15"/>
        <v>ene</v>
      </c>
    </row>
    <row r="361" spans="1:1" x14ac:dyDescent="0.25">
      <c r="A361" s="3" t="str">
        <f t="shared" si="15"/>
        <v>ene</v>
      </c>
    </row>
    <row r="362" spans="1:1" x14ac:dyDescent="0.25">
      <c r="A362" s="3" t="str">
        <f t="shared" si="15"/>
        <v>ene</v>
      </c>
    </row>
    <row r="363" spans="1:1" x14ac:dyDescent="0.25">
      <c r="A363" s="3" t="str">
        <f t="shared" si="15"/>
        <v>ene</v>
      </c>
    </row>
    <row r="364" spans="1:1" x14ac:dyDescent="0.25">
      <c r="A364" s="3" t="str">
        <f t="shared" si="15"/>
        <v>ene</v>
      </c>
    </row>
    <row r="365" spans="1:1" x14ac:dyDescent="0.25">
      <c r="A365" s="3" t="str">
        <f t="shared" si="15"/>
        <v>ene</v>
      </c>
    </row>
    <row r="366" spans="1:1" x14ac:dyDescent="0.25">
      <c r="A366" s="3" t="str">
        <f t="shared" si="15"/>
        <v>ene</v>
      </c>
    </row>
    <row r="367" spans="1:1" x14ac:dyDescent="0.25">
      <c r="A367" s="3" t="str">
        <f t="shared" si="15"/>
        <v>ene</v>
      </c>
    </row>
    <row r="368" spans="1:1" x14ac:dyDescent="0.25">
      <c r="A368" s="3" t="str">
        <f t="shared" si="15"/>
        <v>ene</v>
      </c>
    </row>
    <row r="369" spans="1:1" x14ac:dyDescent="0.25">
      <c r="A369" s="3" t="str">
        <f t="shared" si="15"/>
        <v>ene</v>
      </c>
    </row>
    <row r="370" spans="1:1" x14ac:dyDescent="0.25">
      <c r="A370" s="3" t="str">
        <f t="shared" si="15"/>
        <v>ene</v>
      </c>
    </row>
    <row r="371" spans="1:1" x14ac:dyDescent="0.25">
      <c r="A371" s="3" t="str">
        <f t="shared" si="15"/>
        <v>ene</v>
      </c>
    </row>
    <row r="372" spans="1:1" x14ac:dyDescent="0.25">
      <c r="A372" s="3" t="str">
        <f t="shared" si="15"/>
        <v>ene</v>
      </c>
    </row>
    <row r="373" spans="1:1" x14ac:dyDescent="0.25">
      <c r="A373" s="3" t="str">
        <f t="shared" si="15"/>
        <v>ene</v>
      </c>
    </row>
    <row r="374" spans="1:1" x14ac:dyDescent="0.25">
      <c r="A374" s="3" t="str">
        <f t="shared" si="15"/>
        <v>ene</v>
      </c>
    </row>
    <row r="375" spans="1:1" x14ac:dyDescent="0.25">
      <c r="A375" s="3" t="str">
        <f t="shared" si="15"/>
        <v>ene</v>
      </c>
    </row>
    <row r="376" spans="1:1" x14ac:dyDescent="0.25">
      <c r="A376" s="3" t="str">
        <f t="shared" si="15"/>
        <v>ene</v>
      </c>
    </row>
    <row r="377" spans="1:1" x14ac:dyDescent="0.25">
      <c r="A377" s="3" t="str">
        <f t="shared" si="15"/>
        <v>ene</v>
      </c>
    </row>
    <row r="378" spans="1:1" x14ac:dyDescent="0.25">
      <c r="A378" s="3" t="str">
        <f t="shared" si="15"/>
        <v>ene</v>
      </c>
    </row>
    <row r="379" spans="1:1" x14ac:dyDescent="0.25">
      <c r="A379" s="3" t="str">
        <f t="shared" si="15"/>
        <v>ene</v>
      </c>
    </row>
    <row r="380" spans="1:1" x14ac:dyDescent="0.25">
      <c r="A380" s="3" t="str">
        <f t="shared" si="15"/>
        <v>ene</v>
      </c>
    </row>
    <row r="381" spans="1:1" x14ac:dyDescent="0.25">
      <c r="A381" s="3" t="str">
        <f t="shared" si="15"/>
        <v>ene</v>
      </c>
    </row>
    <row r="382" spans="1:1" x14ac:dyDescent="0.25">
      <c r="A382" s="3" t="str">
        <f t="shared" si="15"/>
        <v>ene</v>
      </c>
    </row>
    <row r="383" spans="1:1" x14ac:dyDescent="0.25">
      <c r="A383" s="3" t="str">
        <f t="shared" si="15"/>
        <v>ene</v>
      </c>
    </row>
    <row r="384" spans="1:1" x14ac:dyDescent="0.25">
      <c r="A384" s="3" t="str">
        <f t="shared" si="15"/>
        <v>ene</v>
      </c>
    </row>
    <row r="385" spans="1:1" x14ac:dyDescent="0.25">
      <c r="A385" s="3" t="str">
        <f t="shared" si="15"/>
        <v>ene</v>
      </c>
    </row>
    <row r="386" spans="1:1" x14ac:dyDescent="0.25">
      <c r="A386" s="3" t="str">
        <f t="shared" si="15"/>
        <v>ene</v>
      </c>
    </row>
    <row r="387" spans="1:1" x14ac:dyDescent="0.25">
      <c r="A387" s="3" t="str">
        <f t="shared" si="15"/>
        <v>ene</v>
      </c>
    </row>
    <row r="388" spans="1:1" x14ac:dyDescent="0.25">
      <c r="A388" s="3" t="str">
        <f t="shared" si="15"/>
        <v>ene</v>
      </c>
    </row>
    <row r="389" spans="1:1" x14ac:dyDescent="0.25">
      <c r="A389" s="3" t="str">
        <f t="shared" si="15"/>
        <v>ene</v>
      </c>
    </row>
    <row r="390" spans="1:1" x14ac:dyDescent="0.25">
      <c r="A390" s="3" t="str">
        <f t="shared" ref="A390:A453" si="16">TEXT($D390,"mmm")</f>
        <v>ene</v>
      </c>
    </row>
    <row r="391" spans="1:1" x14ac:dyDescent="0.25">
      <c r="A391" s="3" t="str">
        <f t="shared" si="16"/>
        <v>ene</v>
      </c>
    </row>
    <row r="392" spans="1:1" x14ac:dyDescent="0.25">
      <c r="A392" s="3" t="str">
        <f t="shared" si="16"/>
        <v>ene</v>
      </c>
    </row>
    <row r="393" spans="1:1" x14ac:dyDescent="0.25">
      <c r="A393" s="3" t="str">
        <f t="shared" si="16"/>
        <v>ene</v>
      </c>
    </row>
    <row r="394" spans="1:1" x14ac:dyDescent="0.25">
      <c r="A394" s="3" t="str">
        <f t="shared" si="16"/>
        <v>ene</v>
      </c>
    </row>
    <row r="395" spans="1:1" x14ac:dyDescent="0.25">
      <c r="A395" s="3" t="str">
        <f t="shared" si="16"/>
        <v>ene</v>
      </c>
    </row>
    <row r="396" spans="1:1" x14ac:dyDescent="0.25">
      <c r="A396" s="3" t="str">
        <f t="shared" si="16"/>
        <v>ene</v>
      </c>
    </row>
    <row r="397" spans="1:1" x14ac:dyDescent="0.25">
      <c r="A397" s="3" t="str">
        <f t="shared" si="16"/>
        <v>ene</v>
      </c>
    </row>
    <row r="398" spans="1:1" x14ac:dyDescent="0.25">
      <c r="A398" s="3" t="str">
        <f t="shared" si="16"/>
        <v>ene</v>
      </c>
    </row>
    <row r="399" spans="1:1" x14ac:dyDescent="0.25">
      <c r="A399" s="3" t="str">
        <f t="shared" si="16"/>
        <v>ene</v>
      </c>
    </row>
    <row r="400" spans="1:1" x14ac:dyDescent="0.25">
      <c r="A400" s="3" t="str">
        <f t="shared" si="16"/>
        <v>ene</v>
      </c>
    </row>
    <row r="401" spans="1:1" x14ac:dyDescent="0.25">
      <c r="A401" s="3" t="str">
        <f t="shared" si="16"/>
        <v>ene</v>
      </c>
    </row>
    <row r="402" spans="1:1" x14ac:dyDescent="0.25">
      <c r="A402" s="3" t="str">
        <f t="shared" si="16"/>
        <v>ene</v>
      </c>
    </row>
    <row r="403" spans="1:1" x14ac:dyDescent="0.25">
      <c r="A403" s="3" t="str">
        <f t="shared" si="16"/>
        <v>ene</v>
      </c>
    </row>
    <row r="404" spans="1:1" x14ac:dyDescent="0.25">
      <c r="A404" s="3" t="str">
        <f t="shared" si="16"/>
        <v>ene</v>
      </c>
    </row>
    <row r="405" spans="1:1" x14ac:dyDescent="0.25">
      <c r="A405" s="3" t="str">
        <f t="shared" si="16"/>
        <v>ene</v>
      </c>
    </row>
    <row r="406" spans="1:1" x14ac:dyDescent="0.25">
      <c r="A406" s="3" t="str">
        <f t="shared" si="16"/>
        <v>ene</v>
      </c>
    </row>
    <row r="407" spans="1:1" x14ac:dyDescent="0.25">
      <c r="A407" s="3" t="str">
        <f t="shared" si="16"/>
        <v>ene</v>
      </c>
    </row>
    <row r="408" spans="1:1" x14ac:dyDescent="0.25">
      <c r="A408" s="3" t="str">
        <f t="shared" si="16"/>
        <v>ene</v>
      </c>
    </row>
    <row r="409" spans="1:1" x14ac:dyDescent="0.25">
      <c r="A409" s="3" t="str">
        <f t="shared" si="16"/>
        <v>ene</v>
      </c>
    </row>
    <row r="410" spans="1:1" x14ac:dyDescent="0.25">
      <c r="A410" s="3" t="str">
        <f t="shared" si="16"/>
        <v>ene</v>
      </c>
    </row>
    <row r="411" spans="1:1" x14ac:dyDescent="0.25">
      <c r="A411" s="3" t="str">
        <f t="shared" si="16"/>
        <v>ene</v>
      </c>
    </row>
    <row r="412" spans="1:1" x14ac:dyDescent="0.25">
      <c r="A412" s="3" t="str">
        <f t="shared" si="16"/>
        <v>ene</v>
      </c>
    </row>
    <row r="413" spans="1:1" x14ac:dyDescent="0.25">
      <c r="A413" s="3" t="str">
        <f t="shared" si="16"/>
        <v>ene</v>
      </c>
    </row>
    <row r="414" spans="1:1" x14ac:dyDescent="0.25">
      <c r="A414" s="3" t="str">
        <f t="shared" si="16"/>
        <v>ene</v>
      </c>
    </row>
    <row r="415" spans="1:1" x14ac:dyDescent="0.25">
      <c r="A415" s="3" t="str">
        <f t="shared" si="16"/>
        <v>ene</v>
      </c>
    </row>
    <row r="416" spans="1:1" x14ac:dyDescent="0.25">
      <c r="A416" s="3" t="str">
        <f t="shared" si="16"/>
        <v>ene</v>
      </c>
    </row>
    <row r="417" spans="1:1" x14ac:dyDescent="0.25">
      <c r="A417" s="3" t="str">
        <f t="shared" si="16"/>
        <v>ene</v>
      </c>
    </row>
    <row r="418" spans="1:1" x14ac:dyDescent="0.25">
      <c r="A418" s="3" t="str">
        <f t="shared" si="16"/>
        <v>ene</v>
      </c>
    </row>
    <row r="419" spans="1:1" x14ac:dyDescent="0.25">
      <c r="A419" s="3" t="str">
        <f t="shared" si="16"/>
        <v>ene</v>
      </c>
    </row>
    <row r="420" spans="1:1" x14ac:dyDescent="0.25">
      <c r="A420" s="3" t="str">
        <f t="shared" si="16"/>
        <v>ene</v>
      </c>
    </row>
    <row r="421" spans="1:1" x14ac:dyDescent="0.25">
      <c r="A421" s="3" t="str">
        <f t="shared" si="16"/>
        <v>ene</v>
      </c>
    </row>
    <row r="422" spans="1:1" x14ac:dyDescent="0.25">
      <c r="A422" s="3" t="str">
        <f t="shared" si="16"/>
        <v>ene</v>
      </c>
    </row>
    <row r="423" spans="1:1" x14ac:dyDescent="0.25">
      <c r="A423" s="3" t="str">
        <f t="shared" si="16"/>
        <v>ene</v>
      </c>
    </row>
    <row r="424" spans="1:1" x14ac:dyDescent="0.25">
      <c r="A424" s="3" t="str">
        <f t="shared" si="16"/>
        <v>ene</v>
      </c>
    </row>
    <row r="425" spans="1:1" x14ac:dyDescent="0.25">
      <c r="A425" s="3" t="str">
        <f t="shared" si="16"/>
        <v>ene</v>
      </c>
    </row>
    <row r="426" spans="1:1" x14ac:dyDescent="0.25">
      <c r="A426" s="3" t="str">
        <f t="shared" si="16"/>
        <v>ene</v>
      </c>
    </row>
    <row r="427" spans="1:1" x14ac:dyDescent="0.25">
      <c r="A427" s="3" t="str">
        <f t="shared" si="16"/>
        <v>ene</v>
      </c>
    </row>
    <row r="428" spans="1:1" x14ac:dyDescent="0.25">
      <c r="A428" s="3" t="str">
        <f t="shared" si="16"/>
        <v>ene</v>
      </c>
    </row>
    <row r="429" spans="1:1" x14ac:dyDescent="0.25">
      <c r="A429" s="3" t="str">
        <f t="shared" si="16"/>
        <v>ene</v>
      </c>
    </row>
    <row r="430" spans="1:1" x14ac:dyDescent="0.25">
      <c r="A430" s="3" t="str">
        <f t="shared" si="16"/>
        <v>ene</v>
      </c>
    </row>
    <row r="431" spans="1:1" x14ac:dyDescent="0.25">
      <c r="A431" s="3" t="str">
        <f t="shared" si="16"/>
        <v>ene</v>
      </c>
    </row>
    <row r="432" spans="1:1" x14ac:dyDescent="0.25">
      <c r="A432" s="3" t="str">
        <f t="shared" si="16"/>
        <v>ene</v>
      </c>
    </row>
    <row r="433" spans="1:1" x14ac:dyDescent="0.25">
      <c r="A433" s="3" t="str">
        <f t="shared" si="16"/>
        <v>ene</v>
      </c>
    </row>
    <row r="434" spans="1:1" x14ac:dyDescent="0.25">
      <c r="A434" s="3" t="str">
        <f t="shared" si="16"/>
        <v>ene</v>
      </c>
    </row>
    <row r="435" spans="1:1" x14ac:dyDescent="0.25">
      <c r="A435" s="3" t="str">
        <f t="shared" si="16"/>
        <v>ene</v>
      </c>
    </row>
    <row r="436" spans="1:1" x14ac:dyDescent="0.25">
      <c r="A436" s="3" t="str">
        <f t="shared" si="16"/>
        <v>ene</v>
      </c>
    </row>
    <row r="437" spans="1:1" x14ac:dyDescent="0.25">
      <c r="A437" s="3" t="str">
        <f t="shared" si="16"/>
        <v>ene</v>
      </c>
    </row>
    <row r="438" spans="1:1" x14ac:dyDescent="0.25">
      <c r="A438" s="3" t="str">
        <f t="shared" si="16"/>
        <v>ene</v>
      </c>
    </row>
    <row r="439" spans="1:1" x14ac:dyDescent="0.25">
      <c r="A439" s="3" t="str">
        <f t="shared" si="16"/>
        <v>ene</v>
      </c>
    </row>
    <row r="440" spans="1:1" x14ac:dyDescent="0.25">
      <c r="A440" s="3" t="str">
        <f t="shared" si="16"/>
        <v>ene</v>
      </c>
    </row>
    <row r="441" spans="1:1" x14ac:dyDescent="0.25">
      <c r="A441" s="3" t="str">
        <f t="shared" si="16"/>
        <v>ene</v>
      </c>
    </row>
    <row r="442" spans="1:1" x14ac:dyDescent="0.25">
      <c r="A442" s="3" t="str">
        <f t="shared" si="16"/>
        <v>ene</v>
      </c>
    </row>
    <row r="443" spans="1:1" x14ac:dyDescent="0.25">
      <c r="A443" s="3" t="str">
        <f t="shared" si="16"/>
        <v>ene</v>
      </c>
    </row>
    <row r="444" spans="1:1" x14ac:dyDescent="0.25">
      <c r="A444" s="3" t="str">
        <f t="shared" si="16"/>
        <v>ene</v>
      </c>
    </row>
    <row r="445" spans="1:1" x14ac:dyDescent="0.25">
      <c r="A445" s="3" t="str">
        <f t="shared" si="16"/>
        <v>ene</v>
      </c>
    </row>
    <row r="446" spans="1:1" x14ac:dyDescent="0.25">
      <c r="A446" s="3" t="str">
        <f t="shared" si="16"/>
        <v>ene</v>
      </c>
    </row>
    <row r="447" spans="1:1" x14ac:dyDescent="0.25">
      <c r="A447" s="3" t="str">
        <f t="shared" si="16"/>
        <v>ene</v>
      </c>
    </row>
    <row r="448" spans="1:1" x14ac:dyDescent="0.25">
      <c r="A448" s="3" t="str">
        <f t="shared" si="16"/>
        <v>ene</v>
      </c>
    </row>
    <row r="449" spans="1:1" x14ac:dyDescent="0.25">
      <c r="A449" s="3" t="str">
        <f t="shared" si="16"/>
        <v>ene</v>
      </c>
    </row>
    <row r="450" spans="1:1" x14ac:dyDescent="0.25">
      <c r="A450" s="3" t="str">
        <f t="shared" si="16"/>
        <v>ene</v>
      </c>
    </row>
    <row r="451" spans="1:1" x14ac:dyDescent="0.25">
      <c r="A451" s="3" t="str">
        <f t="shared" si="16"/>
        <v>ene</v>
      </c>
    </row>
    <row r="452" spans="1:1" x14ac:dyDescent="0.25">
      <c r="A452" s="3" t="str">
        <f t="shared" si="16"/>
        <v>ene</v>
      </c>
    </row>
    <row r="453" spans="1:1" x14ac:dyDescent="0.25">
      <c r="A453" s="3" t="str">
        <f t="shared" si="16"/>
        <v>ene</v>
      </c>
    </row>
    <row r="454" spans="1:1" x14ac:dyDescent="0.25">
      <c r="A454" s="3" t="str">
        <f t="shared" ref="A454:A457" si="17">TEXT($D454,"mmm")</f>
        <v>ene</v>
      </c>
    </row>
    <row r="455" spans="1:1" x14ac:dyDescent="0.25">
      <c r="A455" s="3" t="str">
        <f t="shared" si="17"/>
        <v>ene</v>
      </c>
    </row>
    <row r="456" spans="1:1" x14ac:dyDescent="0.25">
      <c r="A456" s="3" t="str">
        <f t="shared" si="17"/>
        <v>ene</v>
      </c>
    </row>
    <row r="457" spans="1:1" x14ac:dyDescent="0.25">
      <c r="A457" s="3" t="str">
        <f t="shared" si="17"/>
        <v>ene</v>
      </c>
    </row>
  </sheetData>
  <mergeCells count="2">
    <mergeCell ref="B1:H1"/>
    <mergeCell ref="J1:P1"/>
  </mergeCells>
  <conditionalFormatting sqref="L3:L270">
    <cfRule type="cellIs" dxfId="101" priority="20" operator="equal">
      <formula>"POR REALIZAR(ALERTA)"</formula>
    </cfRule>
    <cfRule type="cellIs" dxfId="100" priority="21" operator="equal">
      <formula>"POR REALIAR(ALERTA)"</formula>
    </cfRule>
    <cfRule type="cellIs" dxfId="99" priority="22" operator="equal">
      <formula>"CRITICO(MAS 30 DIAS)"</formula>
    </cfRule>
    <cfRule type="cellIs" dxfId="98" priority="23" operator="equal">
      <formula>"POR REALIZAR (ALERTA)"</formula>
    </cfRule>
    <cfRule type="cellIs" dxfId="97" priority="24" operator="equal">
      <formula>$M$4</formula>
    </cfRule>
    <cfRule type="cellIs" dxfId="96" priority="25" operator="equal">
      <formula>$M$3</formula>
    </cfRule>
    <cfRule type="cellIs" dxfId="95" priority="26" operator="equal">
      <formula>"INVENTARIADO"</formula>
    </cfRule>
    <cfRule type="cellIs" dxfId="94" priority="27" operator="equal">
      <formula>"PENDIENTE"</formula>
    </cfRule>
  </conditionalFormatting>
  <conditionalFormatting sqref="L3:L1048576">
    <cfRule type="cellIs" dxfId="93" priority="19" operator="equal">
      <formula>"AL DIA (MENOS 10 DIAS)"</formula>
    </cfRule>
  </conditionalFormatting>
  <conditionalFormatting sqref="O2:P2">
    <cfRule type="cellIs" dxfId="92" priority="1" operator="equal">
      <formula>"AL DIA (MENOS 10 DIAS)"</formula>
    </cfRule>
    <cfRule type="cellIs" dxfId="91" priority="2" operator="equal">
      <formula>"POR REALIZAR(ALERTA)"</formula>
    </cfRule>
    <cfRule type="cellIs" dxfId="90" priority="3" operator="equal">
      <formula>"POR REALIAR(ALERTA)"</formula>
    </cfRule>
    <cfRule type="cellIs" dxfId="89" priority="4" operator="equal">
      <formula>"CRITICO(MAS 30 DIAS)"</formula>
    </cfRule>
    <cfRule type="cellIs" dxfId="88" priority="5" operator="equal">
      <formula>"POR REALIZAR (ALERTA)"</formula>
    </cfRule>
    <cfRule type="cellIs" dxfId="87" priority="6" operator="equal">
      <formula>$K$4</formula>
    </cfRule>
    <cfRule type="cellIs" dxfId="86" priority="7" operator="equal">
      <formula>$K$3</formula>
    </cfRule>
    <cfRule type="cellIs" dxfId="85" priority="8" operator="equal">
      <formula>"INVENTARIADO"</formula>
    </cfRule>
    <cfRule type="cellIs" dxfId="84" priority="9" operator="equal">
      <formula>"PENDIENTE"</formula>
    </cfRule>
  </conditionalFormatting>
  <dataValidations count="2">
    <dataValidation type="list" allowBlank="1" showInputMessage="1" showErrorMessage="1" sqref="B3:B1048576" xr:uid="{00000000-0002-0000-0100-000000000000}">
      <formula1>$J$3:$J$270</formula1>
    </dataValidation>
    <dataValidation type="list" allowBlank="1" showInputMessage="1" showErrorMessage="1" sqref="G3:G1048576" xr:uid="{00000000-0002-0000-0100-000001000000}">
      <formula1>$Q$2:$Q$6</formula1>
    </dataValidation>
  </dataValidation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7"/>
  <sheetViews>
    <sheetView showGridLines="0" topLeftCell="B1" zoomScale="84" zoomScaleNormal="84" workbookViewId="0">
      <selection activeCell="G41" sqref="G41"/>
    </sheetView>
  </sheetViews>
  <sheetFormatPr baseColWidth="10" defaultRowHeight="15" x14ac:dyDescent="0.25"/>
  <cols>
    <col min="1" max="1" width="0" hidden="1" customWidth="1"/>
    <col min="2" max="2" width="24.7109375" style="8" customWidth="1"/>
    <col min="3" max="3" width="17.85546875" style="8" customWidth="1"/>
    <col min="4" max="4" width="22.140625" style="44" bestFit="1" customWidth="1"/>
    <col min="5" max="5" width="11.85546875" style="8" bestFit="1" customWidth="1"/>
    <col min="6" max="6" width="11.42578125" style="8"/>
    <col min="7" max="7" width="13.85546875" style="8" bestFit="1" customWidth="1"/>
    <col min="8" max="8" width="16.85546875" style="8" bestFit="1" customWidth="1"/>
    <col min="9" max="9" width="6.5703125" style="22" customWidth="1"/>
    <col min="10" max="10" width="30.7109375" customWidth="1"/>
    <col min="11" max="11" width="23.140625" customWidth="1"/>
    <col min="12" max="12" width="25.140625" customWidth="1"/>
    <col min="13" max="13" width="12.85546875" bestFit="1" customWidth="1"/>
    <col min="14" max="14" width="17.5703125" bestFit="1" customWidth="1"/>
    <col min="15" max="15" width="24.5703125" bestFit="1" customWidth="1"/>
    <col min="16" max="16" width="20.85546875" bestFit="1" customWidth="1"/>
    <col min="17" max="17" width="20" style="8" bestFit="1" customWidth="1"/>
    <col min="18" max="18" width="20" bestFit="1" customWidth="1"/>
    <col min="19" max="19" width="4" bestFit="1" customWidth="1"/>
    <col min="20" max="21" width="5" bestFit="1" customWidth="1"/>
    <col min="22" max="22" width="4" bestFit="1" customWidth="1"/>
    <col min="23" max="23" width="5" bestFit="1" customWidth="1"/>
    <col min="24" max="24" width="27.140625" bestFit="1" customWidth="1"/>
    <col min="25" max="29" width="2" bestFit="1" customWidth="1"/>
    <col min="30" max="32" width="3" bestFit="1" customWidth="1"/>
    <col min="33" max="33" width="20.85546875" bestFit="1" customWidth="1"/>
    <col min="34" max="38" width="2" bestFit="1" customWidth="1"/>
    <col min="39" max="41" width="3" bestFit="1" customWidth="1"/>
    <col min="42" max="42" width="29.5703125" bestFit="1" customWidth="1"/>
    <col min="43" max="43" width="32.140625" bestFit="1" customWidth="1"/>
    <col min="44" max="44" width="25.85546875" bestFit="1" customWidth="1"/>
  </cols>
  <sheetData>
    <row r="1" spans="1:25" ht="28.5" x14ac:dyDescent="0.45">
      <c r="A1" s="32"/>
      <c r="B1" s="50" t="s">
        <v>608</v>
      </c>
      <c r="C1" s="50"/>
      <c r="D1" s="50"/>
      <c r="E1" s="50"/>
      <c r="F1" s="50"/>
      <c r="G1" s="50"/>
      <c r="H1" s="50"/>
      <c r="J1" s="50" t="s">
        <v>609</v>
      </c>
      <c r="K1" s="50"/>
      <c r="L1" s="50"/>
      <c r="M1" s="50"/>
      <c r="N1" s="50"/>
      <c r="O1" s="50"/>
      <c r="P1" s="50"/>
      <c r="Q1" s="36" t="s">
        <v>610</v>
      </c>
    </row>
    <row r="2" spans="1:25" x14ac:dyDescent="0.25">
      <c r="A2" s="23" t="s">
        <v>645</v>
      </c>
      <c r="B2" s="1" t="s">
        <v>0</v>
      </c>
      <c r="C2" s="1" t="s">
        <v>635</v>
      </c>
      <c r="D2" s="13" t="s">
        <v>212</v>
      </c>
      <c r="E2" s="1" t="s">
        <v>214</v>
      </c>
      <c r="F2" s="1" t="s">
        <v>215</v>
      </c>
      <c r="G2" s="1" t="s">
        <v>1</v>
      </c>
      <c r="H2" s="1" t="s">
        <v>213</v>
      </c>
      <c r="J2" s="27" t="s">
        <v>604</v>
      </c>
      <c r="K2" s="27" t="s">
        <v>603</v>
      </c>
      <c r="L2" s="27" t="s">
        <v>602</v>
      </c>
      <c r="N2" s="18" t="s">
        <v>605</v>
      </c>
      <c r="O2" s="6" t="s">
        <v>607</v>
      </c>
      <c r="P2" s="38" t="s">
        <v>606</v>
      </c>
      <c r="Q2" s="37" t="s">
        <v>618</v>
      </c>
      <c r="R2" s="10"/>
      <c r="T2" s="10"/>
      <c r="U2" s="10"/>
      <c r="V2" s="10"/>
    </row>
    <row r="3" spans="1:25" x14ac:dyDescent="0.25">
      <c r="A3" s="3" t="str">
        <f>TEXT($D3,"mmm")</f>
        <v>oct</v>
      </c>
      <c r="B3" s="6" t="s">
        <v>360</v>
      </c>
      <c r="C3" s="6">
        <v>637</v>
      </c>
      <c r="D3" s="16">
        <v>46309</v>
      </c>
      <c r="E3" s="6">
        <v>1</v>
      </c>
      <c r="F3" s="6">
        <v>1</v>
      </c>
      <c r="G3" s="6" t="s">
        <v>619</v>
      </c>
      <c r="H3" s="46">
        <v>46309</v>
      </c>
      <c r="J3" s="30" t="s">
        <v>439</v>
      </c>
      <c r="K3" s="17" t="str">
        <f t="shared" ref="K3:K66" si="0">IFERROR(LOOKUP(2,1/($B$3:$B$1001=J3),$D$3:$D$1001),"")</f>
        <v/>
      </c>
      <c r="L3" s="3" t="str">
        <f t="shared" ref="L3:L66" ca="1" si="1">IF(OR(K3="",K3=0),"CRITICO(MAS 30 DIAS)",IF(TODAY()-K3&gt;=30,"CRITICO(MAS 30 DIAS)",IF(TODAY()-K3&gt;=15,"POR REALIZAR(ALERTA)","AL DIA (MENOS 10 DIAS)")))</f>
        <v>CRITICO(MAS 30 DIAS)</v>
      </c>
      <c r="M3" s="10"/>
      <c r="N3" s="21">
        <f ca="1">+COUNTIF(L3:L189,N2)</f>
        <v>28</v>
      </c>
      <c r="O3" s="20">
        <f ca="1">+COUNTIF(L3:L189,O2)</f>
        <v>3</v>
      </c>
      <c r="P3" s="35">
        <f ca="1">+COUNTIF(L3:L189,P2)</f>
        <v>156</v>
      </c>
      <c r="Q3" s="41" t="s">
        <v>619</v>
      </c>
      <c r="S3" s="10"/>
      <c r="U3" s="10"/>
      <c r="W3" s="10"/>
      <c r="X3" s="10"/>
      <c r="Y3" s="10"/>
    </row>
    <row r="4" spans="1:25" x14ac:dyDescent="0.25">
      <c r="A4" s="3" t="str">
        <f>TEXT($D4,"mmm")</f>
        <v>oct</v>
      </c>
      <c r="B4" s="6" t="s">
        <v>4</v>
      </c>
      <c r="C4" s="6">
        <v>1925</v>
      </c>
      <c r="D4" s="16">
        <v>46302</v>
      </c>
      <c r="E4" s="6">
        <v>1</v>
      </c>
      <c r="F4" s="6">
        <v>1</v>
      </c>
      <c r="G4" s="6" t="s">
        <v>619</v>
      </c>
      <c r="H4" s="6"/>
      <c r="J4" s="30" t="s">
        <v>437</v>
      </c>
      <c r="K4" s="17" t="str">
        <f t="shared" si="0"/>
        <v/>
      </c>
      <c r="L4" s="3" t="str">
        <f t="shared" ca="1" si="1"/>
        <v>CRITICO(MAS 30 DIAS)</v>
      </c>
      <c r="M4" s="10"/>
      <c r="O4" s="10"/>
      <c r="Q4" s="41" t="s">
        <v>620</v>
      </c>
      <c r="S4" s="10"/>
      <c r="U4" s="10"/>
      <c r="W4" s="10"/>
      <c r="X4" s="10"/>
      <c r="Y4" s="10"/>
    </row>
    <row r="5" spans="1:25" x14ac:dyDescent="0.25">
      <c r="A5" s="3" t="str">
        <f>TEXT($D5,"mmm")</f>
        <v>oct</v>
      </c>
      <c r="B5" s="49" t="s">
        <v>425</v>
      </c>
      <c r="C5" s="6">
        <v>404</v>
      </c>
      <c r="D5" s="16">
        <v>46302</v>
      </c>
      <c r="E5" s="6">
        <v>0</v>
      </c>
      <c r="F5" s="6">
        <v>0</v>
      </c>
      <c r="G5" s="6" t="s">
        <v>620</v>
      </c>
      <c r="H5" s="6"/>
      <c r="J5" s="30" t="s">
        <v>372</v>
      </c>
      <c r="K5" s="17">
        <f t="shared" si="0"/>
        <v>46312</v>
      </c>
      <c r="L5" s="3" t="str">
        <f t="shared" ca="1" si="1"/>
        <v>AL DIA (MENOS 10 DIAS)</v>
      </c>
      <c r="M5" s="10"/>
      <c r="O5" s="10"/>
      <c r="Q5" s="39"/>
      <c r="S5" s="10"/>
      <c r="U5" s="10"/>
      <c r="W5" s="10"/>
      <c r="X5" s="10"/>
      <c r="Y5" s="10"/>
    </row>
    <row r="6" spans="1:25" x14ac:dyDescent="0.25">
      <c r="A6" s="3" t="str">
        <f t="shared" ref="A6:A69" si="2">TEXT($D6,"mmm")</f>
        <v>oct</v>
      </c>
      <c r="B6" s="6" t="s">
        <v>424</v>
      </c>
      <c r="C6" s="6">
        <v>803</v>
      </c>
      <c r="D6" s="16">
        <v>46302</v>
      </c>
      <c r="E6" s="6">
        <v>4</v>
      </c>
      <c r="F6" s="6">
        <v>4</v>
      </c>
      <c r="G6" s="6" t="s">
        <v>620</v>
      </c>
      <c r="H6" s="6"/>
      <c r="J6" s="30" t="s">
        <v>69</v>
      </c>
      <c r="K6" s="17" t="str">
        <f t="shared" si="0"/>
        <v/>
      </c>
      <c r="L6" s="3" t="str">
        <f t="shared" ca="1" si="1"/>
        <v>CRITICO(MAS 30 DIAS)</v>
      </c>
      <c r="M6" s="10"/>
      <c r="O6" s="10"/>
      <c r="Q6" s="39"/>
      <c r="S6" s="10"/>
      <c r="U6" s="10"/>
      <c r="W6" s="10"/>
      <c r="X6" s="10"/>
      <c r="Y6" s="10"/>
    </row>
    <row r="7" spans="1:25" x14ac:dyDescent="0.25">
      <c r="A7" s="3" t="str">
        <f t="shared" si="2"/>
        <v>oct</v>
      </c>
      <c r="B7" s="6" t="s">
        <v>423</v>
      </c>
      <c r="C7" s="6">
        <v>101</v>
      </c>
      <c r="D7" s="16">
        <v>46303</v>
      </c>
      <c r="E7" s="6">
        <v>0</v>
      </c>
      <c r="F7" s="6">
        <v>0</v>
      </c>
      <c r="G7" s="6" t="s">
        <v>620</v>
      </c>
      <c r="H7" s="6"/>
      <c r="J7" s="30" t="s">
        <v>185</v>
      </c>
      <c r="K7" s="17">
        <f t="shared" si="0"/>
        <v>46301</v>
      </c>
      <c r="L7" s="3" t="str">
        <f t="shared" ca="1" si="1"/>
        <v>AL DIA (MENOS 10 DIAS)</v>
      </c>
      <c r="M7" s="10"/>
      <c r="O7" s="10"/>
      <c r="Q7" s="39"/>
      <c r="S7" s="10"/>
      <c r="U7" s="10"/>
      <c r="W7" s="10"/>
      <c r="X7" s="10"/>
      <c r="Y7" s="10"/>
    </row>
    <row r="8" spans="1:25" x14ac:dyDescent="0.25">
      <c r="A8" s="3" t="str">
        <f t="shared" si="2"/>
        <v>oct</v>
      </c>
      <c r="B8" s="6" t="s">
        <v>456</v>
      </c>
      <c r="C8" s="6">
        <v>1872</v>
      </c>
      <c r="D8" s="16">
        <v>46300</v>
      </c>
      <c r="E8" s="6">
        <v>13</v>
      </c>
      <c r="F8" s="6">
        <v>12</v>
      </c>
      <c r="G8" s="6" t="s">
        <v>619</v>
      </c>
      <c r="H8" s="6"/>
      <c r="J8" s="30" t="s">
        <v>186</v>
      </c>
      <c r="K8" s="17">
        <f t="shared" si="0"/>
        <v>46312</v>
      </c>
      <c r="L8" s="3" t="str">
        <f t="shared" ca="1" si="1"/>
        <v>AL DIA (MENOS 10 DIAS)</v>
      </c>
      <c r="M8" s="10"/>
      <c r="O8" s="10"/>
      <c r="Q8" s="39"/>
      <c r="S8" s="10"/>
      <c r="U8" s="10"/>
      <c r="W8" s="10"/>
      <c r="X8" s="10"/>
      <c r="Y8" s="10"/>
    </row>
    <row r="9" spans="1:25" x14ac:dyDescent="0.25">
      <c r="A9" s="3" t="str">
        <f t="shared" si="2"/>
        <v>oct</v>
      </c>
      <c r="B9" s="6" t="s">
        <v>126</v>
      </c>
      <c r="C9" s="6">
        <v>940</v>
      </c>
      <c r="D9" s="16">
        <v>46304</v>
      </c>
      <c r="E9" s="6">
        <v>0</v>
      </c>
      <c r="F9" s="6">
        <v>1</v>
      </c>
      <c r="G9" s="6" t="s">
        <v>620</v>
      </c>
      <c r="H9" s="6"/>
      <c r="J9" s="30" t="s">
        <v>70</v>
      </c>
      <c r="K9" s="17" t="str">
        <f t="shared" si="0"/>
        <v/>
      </c>
      <c r="L9" s="3" t="str">
        <f t="shared" ca="1" si="1"/>
        <v>CRITICO(MAS 30 DIAS)</v>
      </c>
      <c r="M9" s="10"/>
      <c r="O9" s="10"/>
      <c r="Q9" s="39"/>
      <c r="S9" s="10"/>
      <c r="U9" s="10"/>
      <c r="W9" s="10"/>
      <c r="X9" s="10"/>
      <c r="Y9" s="10"/>
    </row>
    <row r="10" spans="1:25" x14ac:dyDescent="0.25">
      <c r="A10" s="3" t="str">
        <f t="shared" si="2"/>
        <v>oct</v>
      </c>
      <c r="B10" s="6" t="s">
        <v>438</v>
      </c>
      <c r="C10" s="6">
        <v>181</v>
      </c>
      <c r="D10" s="16">
        <v>46303</v>
      </c>
      <c r="E10" s="6">
        <v>0</v>
      </c>
      <c r="F10" s="6">
        <v>0</v>
      </c>
      <c r="G10" s="6" t="s">
        <v>619</v>
      </c>
      <c r="H10" s="6"/>
      <c r="J10" s="30" t="s">
        <v>425</v>
      </c>
      <c r="K10" s="17">
        <f t="shared" si="0"/>
        <v>46302</v>
      </c>
      <c r="L10" s="3" t="str">
        <f t="shared" ca="1" si="1"/>
        <v>AL DIA (MENOS 10 DIAS)</v>
      </c>
      <c r="M10" s="10"/>
      <c r="O10" s="10"/>
      <c r="Q10" s="39"/>
      <c r="S10" s="10"/>
      <c r="U10" s="10"/>
      <c r="W10" s="10"/>
      <c r="X10" s="10"/>
      <c r="Y10" s="10"/>
    </row>
    <row r="11" spans="1:25" x14ac:dyDescent="0.25">
      <c r="A11" s="3" t="str">
        <f t="shared" si="2"/>
        <v>oct</v>
      </c>
      <c r="B11" s="6" t="s">
        <v>72</v>
      </c>
      <c r="C11" s="6">
        <v>503</v>
      </c>
      <c r="D11" s="16">
        <v>46302</v>
      </c>
      <c r="E11" s="6">
        <v>1</v>
      </c>
      <c r="F11" s="6">
        <v>1</v>
      </c>
      <c r="G11" s="6" t="s">
        <v>619</v>
      </c>
      <c r="H11" s="6"/>
      <c r="J11" s="30" t="s">
        <v>388</v>
      </c>
      <c r="K11" s="17" t="str">
        <f t="shared" si="0"/>
        <v/>
      </c>
      <c r="L11" s="3" t="str">
        <f t="shared" ca="1" si="1"/>
        <v>CRITICO(MAS 30 DIAS)</v>
      </c>
      <c r="M11" s="10"/>
      <c r="O11" s="10"/>
      <c r="Q11" s="39"/>
      <c r="S11" s="10"/>
      <c r="U11" s="10"/>
      <c r="W11" s="10"/>
      <c r="X11" s="10"/>
      <c r="Y11" s="10"/>
    </row>
    <row r="12" spans="1:25" x14ac:dyDescent="0.25">
      <c r="A12" s="3" t="str">
        <f t="shared" si="2"/>
        <v>oct</v>
      </c>
      <c r="B12" s="6" t="s">
        <v>253</v>
      </c>
      <c r="C12" s="6">
        <v>580</v>
      </c>
      <c r="D12" s="16">
        <v>46309</v>
      </c>
      <c r="E12" s="6">
        <v>0</v>
      </c>
      <c r="F12" s="6">
        <v>0</v>
      </c>
      <c r="G12" s="6" t="s">
        <v>618</v>
      </c>
      <c r="H12" s="6"/>
      <c r="J12" s="30" t="s">
        <v>329</v>
      </c>
      <c r="K12" s="17" t="str">
        <f t="shared" si="0"/>
        <v/>
      </c>
      <c r="L12" s="3" t="str">
        <f t="shared" ca="1" si="1"/>
        <v>CRITICO(MAS 30 DIAS)</v>
      </c>
      <c r="M12" s="10"/>
      <c r="O12" s="10"/>
      <c r="Q12" s="39"/>
      <c r="S12" s="10"/>
      <c r="U12" s="10"/>
      <c r="W12" s="10"/>
      <c r="X12" s="10"/>
      <c r="Y12" s="10"/>
    </row>
    <row r="13" spans="1:25" x14ac:dyDescent="0.25">
      <c r="A13" s="3" t="str">
        <f t="shared" si="2"/>
        <v>oct</v>
      </c>
      <c r="B13" s="6" t="s">
        <v>13</v>
      </c>
      <c r="C13" s="6">
        <v>1893</v>
      </c>
      <c r="D13" s="16">
        <v>46308</v>
      </c>
      <c r="E13" s="6">
        <v>2</v>
      </c>
      <c r="F13" s="6">
        <v>2</v>
      </c>
      <c r="G13" s="6" t="s">
        <v>618</v>
      </c>
      <c r="H13" s="6"/>
      <c r="J13" s="30" t="s">
        <v>329</v>
      </c>
      <c r="K13" s="17" t="str">
        <f t="shared" si="0"/>
        <v/>
      </c>
      <c r="L13" s="3" t="str">
        <f t="shared" ca="1" si="1"/>
        <v>CRITICO(MAS 30 DIAS)</v>
      </c>
      <c r="M13" s="10"/>
      <c r="O13" s="10"/>
      <c r="Q13" s="39"/>
      <c r="S13" s="10"/>
      <c r="U13" s="10"/>
      <c r="W13" s="10"/>
      <c r="X13" s="10"/>
      <c r="Y13" s="10"/>
    </row>
    <row r="14" spans="1:25" x14ac:dyDescent="0.25">
      <c r="A14" s="3" t="str">
        <f t="shared" si="2"/>
        <v>oct</v>
      </c>
      <c r="B14" s="6" t="s">
        <v>460</v>
      </c>
      <c r="C14" s="6">
        <v>525</v>
      </c>
      <c r="D14" s="16">
        <v>46305</v>
      </c>
      <c r="E14" s="6">
        <v>24</v>
      </c>
      <c r="F14" s="6">
        <v>24</v>
      </c>
      <c r="G14" s="6" t="s">
        <v>618</v>
      </c>
      <c r="H14" s="6"/>
      <c r="J14" s="30" t="s">
        <v>284</v>
      </c>
      <c r="K14" s="17" t="str">
        <f t="shared" si="0"/>
        <v/>
      </c>
      <c r="L14" s="3" t="str">
        <f t="shared" ca="1" si="1"/>
        <v>CRITICO(MAS 30 DIAS)</v>
      </c>
      <c r="M14" s="10"/>
      <c r="O14" s="10"/>
      <c r="Q14" s="39"/>
      <c r="S14" s="10"/>
      <c r="U14" s="10"/>
      <c r="W14" s="10"/>
      <c r="X14" s="10"/>
      <c r="Y14" s="10"/>
    </row>
    <row r="15" spans="1:25" x14ac:dyDescent="0.25">
      <c r="A15" s="3" t="str">
        <f t="shared" si="2"/>
        <v>oct</v>
      </c>
      <c r="B15" s="6" t="s">
        <v>112</v>
      </c>
      <c r="C15" s="6">
        <v>409</v>
      </c>
      <c r="D15" s="16">
        <v>46303</v>
      </c>
      <c r="E15" s="6">
        <v>1</v>
      </c>
      <c r="F15" s="6">
        <v>0</v>
      </c>
      <c r="G15" s="6" t="s">
        <v>618</v>
      </c>
      <c r="H15" s="6"/>
      <c r="J15" s="30" t="s">
        <v>72</v>
      </c>
      <c r="K15" s="17">
        <f t="shared" si="0"/>
        <v>46302</v>
      </c>
      <c r="L15" s="3" t="str">
        <f t="shared" ca="1" si="1"/>
        <v>AL DIA (MENOS 10 DIAS)</v>
      </c>
      <c r="M15" s="10"/>
      <c r="O15" s="10"/>
      <c r="Q15" s="39"/>
      <c r="S15" s="10"/>
      <c r="U15" s="10"/>
      <c r="W15" s="10"/>
      <c r="X15" s="10"/>
      <c r="Y15" s="10"/>
    </row>
    <row r="16" spans="1:25" x14ac:dyDescent="0.25">
      <c r="A16" s="3" t="str">
        <f t="shared" si="2"/>
        <v>oct</v>
      </c>
      <c r="B16" s="6" t="s">
        <v>216</v>
      </c>
      <c r="C16" s="6">
        <v>1419</v>
      </c>
      <c r="D16" s="16">
        <v>46303</v>
      </c>
      <c r="E16" s="6">
        <v>3</v>
      </c>
      <c r="F16" s="6">
        <v>4</v>
      </c>
      <c r="G16" s="6" t="s">
        <v>618</v>
      </c>
      <c r="H16" s="6"/>
      <c r="J16" s="30" t="s">
        <v>16</v>
      </c>
      <c r="K16" s="17" t="str">
        <f t="shared" si="0"/>
        <v/>
      </c>
      <c r="L16" s="3" t="str">
        <f t="shared" ca="1" si="1"/>
        <v>CRITICO(MAS 30 DIAS)</v>
      </c>
      <c r="M16" s="10"/>
      <c r="O16" s="10"/>
      <c r="Q16" s="39"/>
      <c r="S16" s="10"/>
      <c r="U16" s="10"/>
      <c r="W16" s="10"/>
      <c r="X16" s="10"/>
      <c r="Y16" s="10"/>
    </row>
    <row r="17" spans="1:25" x14ac:dyDescent="0.25">
      <c r="A17" s="3" t="str">
        <f t="shared" si="2"/>
        <v>oct</v>
      </c>
      <c r="B17" s="6" t="s">
        <v>203</v>
      </c>
      <c r="C17" s="6">
        <v>163</v>
      </c>
      <c r="D17" s="16">
        <v>46302</v>
      </c>
      <c r="E17" s="6">
        <v>1</v>
      </c>
      <c r="F17" s="6">
        <v>3</v>
      </c>
      <c r="G17" s="6" t="s">
        <v>618</v>
      </c>
      <c r="H17" s="6"/>
      <c r="J17" s="30" t="s">
        <v>17</v>
      </c>
      <c r="K17" s="17">
        <f t="shared" si="0"/>
        <v>46312</v>
      </c>
      <c r="L17" s="3" t="str">
        <f t="shared" ca="1" si="1"/>
        <v>AL DIA (MENOS 10 DIAS)</v>
      </c>
      <c r="M17" s="10"/>
      <c r="O17" s="10"/>
      <c r="Q17" s="39"/>
      <c r="S17" s="10"/>
      <c r="U17" s="10"/>
      <c r="W17" s="10"/>
      <c r="X17" s="10"/>
      <c r="Y17" s="10"/>
    </row>
    <row r="18" spans="1:25" x14ac:dyDescent="0.25">
      <c r="A18" s="3" t="str">
        <f t="shared" si="2"/>
        <v>oct</v>
      </c>
      <c r="B18" s="6" t="s">
        <v>323</v>
      </c>
      <c r="C18" s="6">
        <v>3617</v>
      </c>
      <c r="D18" s="16">
        <v>46305</v>
      </c>
      <c r="E18" s="6">
        <v>6</v>
      </c>
      <c r="F18" s="6">
        <v>41</v>
      </c>
      <c r="G18" s="6" t="s">
        <v>620</v>
      </c>
      <c r="H18" s="6"/>
      <c r="J18" s="30" t="s">
        <v>354</v>
      </c>
      <c r="K18" s="17">
        <f t="shared" si="0"/>
        <v>46300</v>
      </c>
      <c r="L18" s="3" t="str">
        <f t="shared" ca="1" si="1"/>
        <v>AL DIA (MENOS 10 DIAS)</v>
      </c>
      <c r="M18" s="10"/>
      <c r="O18" s="10"/>
      <c r="Q18" s="39"/>
      <c r="R18" s="11"/>
      <c r="S18" s="10"/>
      <c r="U18" s="10"/>
      <c r="W18" s="10"/>
      <c r="X18" s="10"/>
      <c r="Y18" s="10"/>
    </row>
    <row r="19" spans="1:25" x14ac:dyDescent="0.25">
      <c r="A19" s="3" t="str">
        <f t="shared" si="2"/>
        <v>oct</v>
      </c>
      <c r="B19" s="6" t="s">
        <v>449</v>
      </c>
      <c r="C19" s="6">
        <v>3037</v>
      </c>
      <c r="D19" s="16">
        <v>46297</v>
      </c>
      <c r="E19" s="6">
        <v>25</v>
      </c>
      <c r="F19" s="6">
        <v>38</v>
      </c>
      <c r="G19" s="6" t="s">
        <v>619</v>
      </c>
      <c r="H19" s="6"/>
      <c r="J19" s="30" t="s">
        <v>355</v>
      </c>
      <c r="K19" s="17" t="str">
        <f t="shared" si="0"/>
        <v/>
      </c>
      <c r="L19" s="3" t="str">
        <f t="shared" ca="1" si="1"/>
        <v>CRITICO(MAS 30 DIAS)</v>
      </c>
      <c r="M19" s="10"/>
      <c r="O19" s="10"/>
      <c r="Q19" s="39"/>
      <c r="R19" s="11"/>
      <c r="S19" s="10"/>
      <c r="U19" s="10"/>
      <c r="W19" s="10"/>
      <c r="X19" s="10"/>
      <c r="Y19" s="10"/>
    </row>
    <row r="20" spans="1:25" x14ac:dyDescent="0.25">
      <c r="A20" s="3" t="str">
        <f t="shared" si="2"/>
        <v>oct</v>
      </c>
      <c r="B20" s="6" t="s">
        <v>77</v>
      </c>
      <c r="C20" s="3">
        <v>217</v>
      </c>
      <c r="D20" s="16">
        <v>46309</v>
      </c>
      <c r="E20" s="6">
        <v>0</v>
      </c>
      <c r="F20" s="6">
        <v>0</v>
      </c>
      <c r="G20" s="6" t="s">
        <v>619</v>
      </c>
      <c r="H20" s="6"/>
      <c r="J20" s="30" t="s">
        <v>189</v>
      </c>
      <c r="K20" s="17" t="str">
        <f t="shared" si="0"/>
        <v/>
      </c>
      <c r="L20" s="3" t="str">
        <f t="shared" ca="1" si="1"/>
        <v>CRITICO(MAS 30 DIAS)</v>
      </c>
      <c r="M20" s="10"/>
      <c r="N20" s="42" t="s">
        <v>645</v>
      </c>
      <c r="O20" t="s">
        <v>636</v>
      </c>
      <c r="Q20" s="39"/>
      <c r="R20" s="11"/>
      <c r="S20" s="10"/>
      <c r="U20" s="10"/>
      <c r="W20" s="10"/>
      <c r="X20" s="10"/>
      <c r="Y20" s="10"/>
    </row>
    <row r="21" spans="1:25" x14ac:dyDescent="0.25">
      <c r="A21" s="3" t="str">
        <f t="shared" si="2"/>
        <v>oct</v>
      </c>
      <c r="B21" s="6" t="s">
        <v>190</v>
      </c>
      <c r="C21" s="3">
        <v>215</v>
      </c>
      <c r="D21" s="16">
        <v>46309</v>
      </c>
      <c r="E21" s="6">
        <v>0</v>
      </c>
      <c r="F21" s="6">
        <v>0</v>
      </c>
      <c r="G21" s="6" t="s">
        <v>620</v>
      </c>
      <c r="H21" s="6"/>
      <c r="J21" s="30" t="s">
        <v>190</v>
      </c>
      <c r="K21" s="17">
        <f t="shared" si="0"/>
        <v>46309</v>
      </c>
      <c r="L21" s="3" t="str">
        <f t="shared" ca="1" si="1"/>
        <v>AL DIA (MENOS 10 DIAS)</v>
      </c>
      <c r="M21" s="10"/>
      <c r="N21" s="42" t="s">
        <v>0</v>
      </c>
      <c r="O21" t="s">
        <v>636</v>
      </c>
      <c r="Q21" s="39"/>
      <c r="R21" s="11"/>
      <c r="S21" s="10"/>
      <c r="U21" s="10"/>
      <c r="W21" s="10"/>
      <c r="X21" s="10"/>
      <c r="Y21" s="10"/>
    </row>
    <row r="22" spans="1:25" x14ac:dyDescent="0.25">
      <c r="A22" s="3" t="str">
        <f t="shared" si="2"/>
        <v>oct</v>
      </c>
      <c r="B22" s="6" t="s">
        <v>357</v>
      </c>
      <c r="C22" s="6">
        <v>24</v>
      </c>
      <c r="D22" s="16">
        <v>46303</v>
      </c>
      <c r="E22" s="6">
        <v>0</v>
      </c>
      <c r="F22" s="6">
        <v>0</v>
      </c>
      <c r="G22" s="6" t="s">
        <v>618</v>
      </c>
      <c r="H22" s="6"/>
      <c r="J22" s="30" t="s">
        <v>401</v>
      </c>
      <c r="K22" s="17" t="str">
        <f t="shared" si="0"/>
        <v/>
      </c>
      <c r="L22" s="3" t="str">
        <f t="shared" ca="1" si="1"/>
        <v>CRITICO(MAS 30 DIAS)</v>
      </c>
      <c r="M22" s="10"/>
      <c r="O22" s="10"/>
      <c r="Q22" s="39"/>
      <c r="R22" s="11"/>
      <c r="S22" s="10"/>
      <c r="U22" s="10"/>
      <c r="W22" s="10"/>
      <c r="X22" s="10"/>
      <c r="Y22" s="10"/>
    </row>
    <row r="23" spans="1:25" x14ac:dyDescent="0.25">
      <c r="A23" s="3" t="str">
        <f t="shared" si="2"/>
        <v>oct</v>
      </c>
      <c r="B23" s="6" t="s">
        <v>292</v>
      </c>
      <c r="C23" s="6">
        <v>6</v>
      </c>
      <c r="D23" s="16">
        <v>46303</v>
      </c>
      <c r="E23" s="6">
        <v>0</v>
      </c>
      <c r="F23" s="6">
        <v>0</v>
      </c>
      <c r="G23" s="6" t="s">
        <v>618</v>
      </c>
      <c r="H23" s="6"/>
      <c r="J23" s="30" t="s">
        <v>191</v>
      </c>
      <c r="K23" s="17" t="str">
        <f t="shared" si="0"/>
        <v/>
      </c>
      <c r="L23" s="3" t="str">
        <f t="shared" ca="1" si="1"/>
        <v>CRITICO(MAS 30 DIAS)</v>
      </c>
      <c r="M23" s="10"/>
      <c r="N23" s="42" t="s">
        <v>637</v>
      </c>
      <c r="O23" t="s">
        <v>641</v>
      </c>
      <c r="P23" t="s">
        <v>652</v>
      </c>
      <c r="Q23" t="s">
        <v>649</v>
      </c>
    </row>
    <row r="24" spans="1:25" x14ac:dyDescent="0.25">
      <c r="A24" s="3" t="str">
        <f t="shared" si="2"/>
        <v>oct</v>
      </c>
      <c r="B24" s="6" t="s">
        <v>233</v>
      </c>
      <c r="C24" s="6">
        <v>379</v>
      </c>
      <c r="D24" s="16">
        <v>46298</v>
      </c>
      <c r="E24" s="6">
        <v>0</v>
      </c>
      <c r="F24" s="6">
        <v>0</v>
      </c>
      <c r="G24" s="6" t="s">
        <v>618</v>
      </c>
      <c r="H24" s="6"/>
      <c r="J24" s="30" t="s">
        <v>216</v>
      </c>
      <c r="K24" s="17">
        <f t="shared" si="0"/>
        <v>46303</v>
      </c>
      <c r="L24" s="3" t="str">
        <f t="shared" ca="1" si="1"/>
        <v>AL DIA (MENOS 10 DIAS)</v>
      </c>
      <c r="M24" s="10"/>
      <c r="N24" s="43" t="s">
        <v>619</v>
      </c>
      <c r="O24">
        <v>10699</v>
      </c>
      <c r="P24">
        <v>9</v>
      </c>
      <c r="Q24">
        <v>44</v>
      </c>
    </row>
    <row r="25" spans="1:25" x14ac:dyDescent="0.25">
      <c r="A25" s="3" t="str">
        <f t="shared" si="2"/>
        <v>oct</v>
      </c>
      <c r="B25" s="6" t="s">
        <v>378</v>
      </c>
      <c r="C25" s="6">
        <v>449</v>
      </c>
      <c r="D25" s="16">
        <v>46310</v>
      </c>
      <c r="E25" s="6">
        <v>1</v>
      </c>
      <c r="F25" s="6">
        <v>1</v>
      </c>
      <c r="G25" s="6" t="s">
        <v>618</v>
      </c>
      <c r="H25" s="6"/>
      <c r="J25" s="30" t="s">
        <v>387</v>
      </c>
      <c r="K25" s="17" t="str">
        <f t="shared" si="0"/>
        <v/>
      </c>
      <c r="L25" s="3" t="str">
        <f t="shared" ca="1" si="1"/>
        <v>CRITICO(MAS 30 DIAS)</v>
      </c>
      <c r="M25" s="10"/>
      <c r="N25" s="43" t="s">
        <v>618</v>
      </c>
      <c r="O25">
        <v>10718</v>
      </c>
      <c r="P25">
        <v>20</v>
      </c>
      <c r="Q25">
        <v>51</v>
      </c>
    </row>
    <row r="26" spans="1:25" x14ac:dyDescent="0.25">
      <c r="A26" s="3" t="str">
        <f t="shared" si="2"/>
        <v>mar</v>
      </c>
      <c r="B26" s="6" t="s">
        <v>314</v>
      </c>
      <c r="C26" s="6">
        <v>433</v>
      </c>
      <c r="D26" s="16">
        <v>46091</v>
      </c>
      <c r="E26" s="6">
        <v>0</v>
      </c>
      <c r="F26" s="6">
        <v>0</v>
      </c>
      <c r="G26" s="6" t="s">
        <v>618</v>
      </c>
      <c r="H26" s="6"/>
      <c r="J26" s="30" t="s">
        <v>239</v>
      </c>
      <c r="K26" s="17" t="str">
        <f t="shared" si="0"/>
        <v/>
      </c>
      <c r="L26" s="3" t="str">
        <f t="shared" ca="1" si="1"/>
        <v>CRITICO(MAS 30 DIAS)</v>
      </c>
      <c r="M26" s="10"/>
      <c r="N26" s="43" t="s">
        <v>620</v>
      </c>
      <c r="O26">
        <v>6080</v>
      </c>
      <c r="P26">
        <v>6</v>
      </c>
      <c r="Q26">
        <v>10</v>
      </c>
    </row>
    <row r="27" spans="1:25" x14ac:dyDescent="0.25">
      <c r="A27" s="3" t="str">
        <f t="shared" si="2"/>
        <v>oct</v>
      </c>
      <c r="B27" s="6" t="s">
        <v>141</v>
      </c>
      <c r="C27" s="6">
        <v>282</v>
      </c>
      <c r="D27" s="16">
        <v>46298</v>
      </c>
      <c r="E27" s="6">
        <v>0</v>
      </c>
      <c r="F27" s="6">
        <v>0</v>
      </c>
      <c r="G27" s="6" t="s">
        <v>618</v>
      </c>
      <c r="H27" s="6"/>
      <c r="J27" s="30" t="s">
        <v>77</v>
      </c>
      <c r="K27" s="17">
        <f t="shared" si="0"/>
        <v>46309</v>
      </c>
      <c r="L27" s="3" t="str">
        <f t="shared" ca="1" si="1"/>
        <v>AL DIA (MENOS 10 DIAS)</v>
      </c>
      <c r="M27" s="10"/>
      <c r="N27" s="43" t="s">
        <v>639</v>
      </c>
      <c r="O27">
        <v>27497</v>
      </c>
      <c r="P27">
        <v>35</v>
      </c>
      <c r="Q27">
        <v>105</v>
      </c>
    </row>
    <row r="28" spans="1:25" x14ac:dyDescent="0.25">
      <c r="A28" s="3" t="str">
        <f t="shared" si="2"/>
        <v>oct</v>
      </c>
      <c r="B28" s="6" t="s">
        <v>298</v>
      </c>
      <c r="C28" s="6">
        <v>182</v>
      </c>
      <c r="D28" s="16">
        <v>46298</v>
      </c>
      <c r="E28" s="6">
        <v>0</v>
      </c>
      <c r="F28" s="6">
        <v>0</v>
      </c>
      <c r="G28" s="6" t="s">
        <v>618</v>
      </c>
      <c r="H28" s="6"/>
      <c r="J28" s="30" t="s">
        <v>353</v>
      </c>
      <c r="K28" s="17" t="str">
        <f t="shared" si="0"/>
        <v/>
      </c>
      <c r="L28" s="3" t="str">
        <f t="shared" ca="1" si="1"/>
        <v>CRITICO(MAS 30 DIAS)</v>
      </c>
      <c r="M28" s="10"/>
      <c r="Q28"/>
    </row>
    <row r="29" spans="1:25" x14ac:dyDescent="0.25">
      <c r="A29" s="3" t="str">
        <f t="shared" si="2"/>
        <v>oct</v>
      </c>
      <c r="B29" s="6" t="s">
        <v>171</v>
      </c>
      <c r="C29" s="6">
        <v>574</v>
      </c>
      <c r="D29" s="16">
        <v>46300</v>
      </c>
      <c r="E29" s="6">
        <v>0</v>
      </c>
      <c r="F29" s="6">
        <v>0</v>
      </c>
      <c r="G29" s="6" t="s">
        <v>618</v>
      </c>
      <c r="H29" s="6"/>
      <c r="J29" s="30" t="s">
        <v>428</v>
      </c>
      <c r="K29" s="17" t="str">
        <f t="shared" si="0"/>
        <v/>
      </c>
      <c r="L29" s="3" t="str">
        <f t="shared" ca="1" si="1"/>
        <v>CRITICO(MAS 30 DIAS)</v>
      </c>
      <c r="M29" s="10"/>
      <c r="Q29"/>
    </row>
    <row r="30" spans="1:25" x14ac:dyDescent="0.25">
      <c r="A30" s="3" t="str">
        <f t="shared" si="2"/>
        <v>oct</v>
      </c>
      <c r="B30" s="6" t="s">
        <v>115</v>
      </c>
      <c r="C30" s="6">
        <v>57</v>
      </c>
      <c r="D30" s="16">
        <v>46300</v>
      </c>
      <c r="E30" s="6">
        <v>0</v>
      </c>
      <c r="F30" s="6">
        <v>0</v>
      </c>
      <c r="G30" s="6" t="s">
        <v>618</v>
      </c>
      <c r="H30" s="6"/>
      <c r="J30" s="30" t="s">
        <v>444</v>
      </c>
      <c r="K30" s="17" t="str">
        <f t="shared" si="0"/>
        <v/>
      </c>
      <c r="L30" s="3" t="str">
        <f t="shared" ca="1" si="1"/>
        <v>CRITICO(MAS 30 DIAS)</v>
      </c>
      <c r="M30" s="10"/>
      <c r="Q30" s="39"/>
      <c r="R30" s="11"/>
      <c r="S30" s="10"/>
      <c r="U30" s="10"/>
      <c r="V30" s="12"/>
      <c r="W30" s="12"/>
      <c r="X30" s="12"/>
      <c r="Y30" s="12"/>
    </row>
    <row r="31" spans="1:25" x14ac:dyDescent="0.25">
      <c r="A31" s="3" t="str">
        <f t="shared" si="2"/>
        <v>oct</v>
      </c>
      <c r="B31" s="6" t="s">
        <v>354</v>
      </c>
      <c r="C31" s="6">
        <v>792</v>
      </c>
      <c r="D31" s="16">
        <v>46300</v>
      </c>
      <c r="E31" s="6">
        <v>0</v>
      </c>
      <c r="F31" s="6">
        <v>0</v>
      </c>
      <c r="G31" s="6" t="s">
        <v>618</v>
      </c>
      <c r="H31" s="6"/>
      <c r="J31" s="30" t="s">
        <v>443</v>
      </c>
      <c r="K31" s="17" t="str">
        <f t="shared" si="0"/>
        <v/>
      </c>
      <c r="L31" s="3" t="str">
        <f t="shared" ca="1" si="1"/>
        <v>CRITICO(MAS 30 DIAS)</v>
      </c>
      <c r="M31" s="10"/>
      <c r="Q31" s="39"/>
      <c r="R31" s="11"/>
      <c r="S31" s="10"/>
      <c r="U31" s="10"/>
      <c r="V31" s="12"/>
      <c r="W31" s="12"/>
      <c r="X31" s="12"/>
      <c r="Y31" s="12"/>
    </row>
    <row r="32" spans="1:25" x14ac:dyDescent="0.25">
      <c r="A32" s="3" t="str">
        <f t="shared" si="2"/>
        <v>oct</v>
      </c>
      <c r="B32" s="6" t="s">
        <v>185</v>
      </c>
      <c r="C32" s="6">
        <v>583</v>
      </c>
      <c r="D32" s="16">
        <v>46301</v>
      </c>
      <c r="E32" s="6">
        <v>0</v>
      </c>
      <c r="F32" s="6">
        <v>0</v>
      </c>
      <c r="G32" s="6" t="s">
        <v>618</v>
      </c>
      <c r="H32" s="6"/>
      <c r="J32" s="30" t="s">
        <v>78</v>
      </c>
      <c r="K32" s="17" t="str">
        <f t="shared" si="0"/>
        <v/>
      </c>
      <c r="L32" s="3" t="str">
        <f t="shared" ca="1" si="1"/>
        <v>CRITICO(MAS 30 DIAS)</v>
      </c>
      <c r="M32" s="10"/>
      <c r="Q32" s="39"/>
      <c r="R32" s="11"/>
      <c r="S32" s="10"/>
      <c r="U32" s="10"/>
      <c r="V32" s="12"/>
      <c r="W32" s="12"/>
      <c r="X32" s="12"/>
      <c r="Y32" s="12"/>
    </row>
    <row r="33" spans="1:25" x14ac:dyDescent="0.25">
      <c r="A33" s="3" t="str">
        <f t="shared" si="2"/>
        <v>oct</v>
      </c>
      <c r="B33" s="6" t="s">
        <v>302</v>
      </c>
      <c r="C33" s="6">
        <v>770</v>
      </c>
      <c r="D33" s="16">
        <v>46310</v>
      </c>
      <c r="E33" s="6">
        <v>1</v>
      </c>
      <c r="F33" s="6">
        <v>1</v>
      </c>
      <c r="G33" s="6" t="s">
        <v>619</v>
      </c>
      <c r="H33" s="6"/>
      <c r="J33" s="30" t="s">
        <v>79</v>
      </c>
      <c r="K33" s="17" t="str">
        <f t="shared" si="0"/>
        <v/>
      </c>
      <c r="L33" s="3" t="str">
        <f t="shared" ca="1" si="1"/>
        <v>CRITICO(MAS 30 DIAS)</v>
      </c>
      <c r="M33" s="10"/>
      <c r="Q33" s="39"/>
      <c r="R33" s="11"/>
      <c r="S33" s="10"/>
      <c r="U33" s="10"/>
      <c r="V33" s="12"/>
      <c r="W33" s="12"/>
      <c r="X33" s="12"/>
      <c r="Y33" s="12"/>
    </row>
    <row r="34" spans="1:25" x14ac:dyDescent="0.25">
      <c r="A34" s="3" t="str">
        <f t="shared" si="2"/>
        <v>oct</v>
      </c>
      <c r="B34" s="6" t="s">
        <v>422</v>
      </c>
      <c r="C34" s="6">
        <v>1557</v>
      </c>
      <c r="D34" s="16">
        <v>46311</v>
      </c>
      <c r="E34" s="6">
        <v>2</v>
      </c>
      <c r="F34" s="6">
        <v>1</v>
      </c>
      <c r="G34" s="6" t="s">
        <v>619</v>
      </c>
      <c r="H34" s="6"/>
      <c r="J34" s="30" t="s">
        <v>358</v>
      </c>
      <c r="K34" s="17" t="str">
        <f t="shared" si="0"/>
        <v/>
      </c>
      <c r="L34" s="3" t="str">
        <f t="shared" ca="1" si="1"/>
        <v>CRITICO(MAS 30 DIAS)</v>
      </c>
      <c r="M34" s="10"/>
      <c r="Q34" s="39"/>
      <c r="R34" s="11"/>
      <c r="S34" s="10"/>
      <c r="U34" s="10"/>
      <c r="V34" s="12"/>
      <c r="W34" s="12"/>
      <c r="X34" s="12"/>
      <c r="Y34" s="12"/>
    </row>
    <row r="35" spans="1:25" x14ac:dyDescent="0.25">
      <c r="A35" s="3" t="str">
        <f t="shared" si="2"/>
        <v>oct</v>
      </c>
      <c r="B35" s="6" t="s">
        <v>384</v>
      </c>
      <c r="C35" s="6">
        <v>1859</v>
      </c>
      <c r="D35" s="16">
        <v>46310</v>
      </c>
      <c r="E35" s="6">
        <v>18</v>
      </c>
      <c r="F35" s="6">
        <v>3</v>
      </c>
      <c r="G35" s="6" t="s">
        <v>618</v>
      </c>
      <c r="H35" s="6"/>
      <c r="J35" s="30" t="s">
        <v>313</v>
      </c>
      <c r="K35" s="17" t="str">
        <f t="shared" si="0"/>
        <v/>
      </c>
      <c r="L35" s="3" t="str">
        <f t="shared" ca="1" si="1"/>
        <v>CRITICO(MAS 30 DIAS)</v>
      </c>
      <c r="M35" s="10"/>
      <c r="Q35" s="39"/>
      <c r="R35" s="11"/>
      <c r="S35" s="10"/>
      <c r="U35" s="10"/>
      <c r="V35" s="12"/>
      <c r="W35" s="12"/>
      <c r="X35" s="12"/>
      <c r="Y35" s="12"/>
    </row>
    <row r="36" spans="1:25" x14ac:dyDescent="0.25">
      <c r="A36" s="3" t="str">
        <f t="shared" si="2"/>
        <v>oct</v>
      </c>
      <c r="B36" s="6" t="s">
        <v>368</v>
      </c>
      <c r="C36" s="6">
        <v>89</v>
      </c>
      <c r="D36" s="16">
        <v>46312</v>
      </c>
      <c r="E36" s="6">
        <v>1</v>
      </c>
      <c r="F36" s="6">
        <v>1</v>
      </c>
      <c r="G36" s="6" t="s">
        <v>618</v>
      </c>
      <c r="H36" s="6"/>
      <c r="J36" s="30" t="s">
        <v>407</v>
      </c>
      <c r="K36" s="17" t="str">
        <f t="shared" si="0"/>
        <v/>
      </c>
      <c r="L36" s="3" t="str">
        <f t="shared" ca="1" si="1"/>
        <v>CRITICO(MAS 30 DIAS)</v>
      </c>
      <c r="M36" s="10"/>
      <c r="Q36" s="39"/>
      <c r="R36" s="11"/>
      <c r="S36" s="10"/>
      <c r="U36" s="10"/>
      <c r="V36" s="12"/>
      <c r="W36" s="12"/>
      <c r="X36" s="12"/>
      <c r="Y36" s="12"/>
    </row>
    <row r="37" spans="1:25" x14ac:dyDescent="0.25">
      <c r="A37" s="3" t="str">
        <f t="shared" si="2"/>
        <v>oct</v>
      </c>
      <c r="B37" s="6" t="s">
        <v>372</v>
      </c>
      <c r="C37" s="6">
        <v>20</v>
      </c>
      <c r="D37" s="16">
        <v>46312</v>
      </c>
      <c r="E37" s="6">
        <v>0</v>
      </c>
      <c r="F37" s="6">
        <v>0</v>
      </c>
      <c r="G37" s="6" t="s">
        <v>618</v>
      </c>
      <c r="H37" s="6"/>
      <c r="J37" s="30" t="s">
        <v>20</v>
      </c>
      <c r="K37" s="17" t="str">
        <f t="shared" si="0"/>
        <v/>
      </c>
      <c r="L37" s="3" t="str">
        <f t="shared" ca="1" si="1"/>
        <v>CRITICO(MAS 30 DIAS)</v>
      </c>
      <c r="M37" s="10"/>
      <c r="Q37" s="39"/>
      <c r="R37" s="11"/>
      <c r="S37" s="10"/>
      <c r="U37" s="10"/>
      <c r="V37" s="12"/>
      <c r="W37" s="12"/>
      <c r="X37" s="12"/>
      <c r="Y37" s="12"/>
    </row>
    <row r="38" spans="1:25" x14ac:dyDescent="0.25">
      <c r="A38" s="3" t="str">
        <f t="shared" si="2"/>
        <v>oct</v>
      </c>
      <c r="B38" s="6" t="s">
        <v>186</v>
      </c>
      <c r="C38" s="6">
        <v>767</v>
      </c>
      <c r="D38" s="16">
        <v>46312</v>
      </c>
      <c r="E38" s="6">
        <v>1</v>
      </c>
      <c r="F38" s="6">
        <v>0</v>
      </c>
      <c r="G38" s="6" t="s">
        <v>620</v>
      </c>
      <c r="H38" s="6"/>
      <c r="J38" s="30" t="s">
        <v>258</v>
      </c>
      <c r="K38" s="17" t="str">
        <f t="shared" si="0"/>
        <v/>
      </c>
      <c r="L38" s="3" t="str">
        <f t="shared" ca="1" si="1"/>
        <v>CRITICO(MAS 30 DIAS)</v>
      </c>
      <c r="M38" s="10"/>
      <c r="Q38" s="39"/>
      <c r="R38" s="11"/>
      <c r="S38" s="10"/>
      <c r="U38" s="10"/>
      <c r="V38" s="12"/>
      <c r="W38" s="12"/>
      <c r="X38" s="12"/>
      <c r="Y38" s="12"/>
    </row>
    <row r="39" spans="1:25" x14ac:dyDescent="0.25">
      <c r="A39" s="3" t="str">
        <f t="shared" si="2"/>
        <v>oct</v>
      </c>
      <c r="B39" s="6" t="s">
        <v>254</v>
      </c>
      <c r="C39" s="6">
        <v>949</v>
      </c>
      <c r="D39" s="16">
        <v>46312</v>
      </c>
      <c r="E39" s="6">
        <v>7</v>
      </c>
      <c r="F39" s="6">
        <v>7</v>
      </c>
      <c r="G39" s="6" t="s">
        <v>619</v>
      </c>
      <c r="H39" s="6"/>
      <c r="J39" s="30" t="s">
        <v>351</v>
      </c>
      <c r="K39" s="17" t="str">
        <f t="shared" si="0"/>
        <v/>
      </c>
      <c r="L39" s="3" t="str">
        <f t="shared" ca="1" si="1"/>
        <v>CRITICO(MAS 30 DIAS)</v>
      </c>
      <c r="M39" s="10"/>
      <c r="Q39" s="39"/>
      <c r="R39" s="11"/>
      <c r="S39" s="10"/>
      <c r="U39" s="10"/>
      <c r="V39" s="12"/>
      <c r="W39" s="12"/>
      <c r="X39" s="12"/>
      <c r="Y39" s="12"/>
    </row>
    <row r="40" spans="1:25" x14ac:dyDescent="0.25">
      <c r="A40" s="3" t="str">
        <f t="shared" si="2"/>
        <v>oct</v>
      </c>
      <c r="B40" s="6" t="s">
        <v>17</v>
      </c>
      <c r="C40" s="6">
        <v>152</v>
      </c>
      <c r="D40" s="16">
        <v>46312</v>
      </c>
      <c r="E40" s="6">
        <v>0</v>
      </c>
      <c r="F40" s="6">
        <v>0</v>
      </c>
      <c r="G40" s="6" t="s">
        <v>620</v>
      </c>
      <c r="H40" s="6"/>
      <c r="J40" s="30" t="s">
        <v>3</v>
      </c>
      <c r="K40" s="17" t="str">
        <f t="shared" si="0"/>
        <v/>
      </c>
      <c r="L40" s="3" t="str">
        <f t="shared" ca="1" si="1"/>
        <v>CRITICO(MAS 30 DIAS)</v>
      </c>
      <c r="M40" s="10"/>
      <c r="Q40" s="39"/>
      <c r="R40" s="11"/>
      <c r="S40" s="10"/>
      <c r="U40" s="10"/>
      <c r="V40" s="12"/>
      <c r="W40" s="12"/>
      <c r="X40" s="12"/>
      <c r="Y40" s="12"/>
    </row>
    <row r="41" spans="1:25" x14ac:dyDescent="0.25">
      <c r="A41" s="3" t="str">
        <f t="shared" si="2"/>
        <v>ene</v>
      </c>
      <c r="B41" s="6"/>
      <c r="C41" s="6"/>
      <c r="D41" s="16"/>
      <c r="E41" s="6"/>
      <c r="F41" s="6"/>
      <c r="G41" s="6"/>
      <c r="H41" s="6"/>
      <c r="J41" s="30" t="s">
        <v>4</v>
      </c>
      <c r="K41" s="17">
        <f t="shared" si="0"/>
        <v>46302</v>
      </c>
      <c r="L41" s="3" t="str">
        <f t="shared" ca="1" si="1"/>
        <v>AL DIA (MENOS 10 DIAS)</v>
      </c>
      <c r="M41" s="10"/>
      <c r="O41" s="10"/>
      <c r="Q41" s="39"/>
      <c r="R41" s="11"/>
      <c r="S41" s="10"/>
      <c r="U41" s="10"/>
      <c r="V41" s="12"/>
      <c r="W41" s="12"/>
      <c r="X41" s="12"/>
      <c r="Y41" s="12"/>
    </row>
    <row r="42" spans="1:25" x14ac:dyDescent="0.25">
      <c r="A42" s="3" t="str">
        <f t="shared" si="2"/>
        <v>ene</v>
      </c>
      <c r="B42" s="6"/>
      <c r="C42" s="6"/>
      <c r="D42" s="16"/>
      <c r="E42" s="6"/>
      <c r="F42" s="6"/>
      <c r="G42" s="6"/>
      <c r="H42" s="6"/>
      <c r="J42" s="30" t="s">
        <v>80</v>
      </c>
      <c r="K42" s="17" t="str">
        <f t="shared" si="0"/>
        <v/>
      </c>
      <c r="L42" s="3" t="str">
        <f t="shared" ca="1" si="1"/>
        <v>CRITICO(MAS 30 DIAS)</v>
      </c>
      <c r="M42" s="10"/>
      <c r="O42" s="10"/>
      <c r="Q42" s="39"/>
      <c r="R42" s="11"/>
      <c r="S42" s="10"/>
      <c r="U42" s="10"/>
      <c r="V42" s="12"/>
      <c r="W42" s="12"/>
      <c r="X42" s="12"/>
      <c r="Y42" s="12"/>
    </row>
    <row r="43" spans="1:25" x14ac:dyDescent="0.25">
      <c r="A43" s="3" t="str">
        <f t="shared" si="2"/>
        <v>ene</v>
      </c>
      <c r="B43" s="6"/>
      <c r="C43" s="6"/>
      <c r="D43" s="16"/>
      <c r="E43" s="6"/>
      <c r="F43" s="6"/>
      <c r="G43" s="6"/>
      <c r="H43" s="6"/>
      <c r="J43" s="30" t="s">
        <v>81</v>
      </c>
      <c r="K43" s="17" t="str">
        <f t="shared" si="0"/>
        <v/>
      </c>
      <c r="L43" s="3" t="str">
        <f t="shared" ca="1" si="1"/>
        <v>CRITICO(MAS 30 DIAS)</v>
      </c>
      <c r="M43" s="10"/>
      <c r="O43" s="10"/>
      <c r="Q43" s="39"/>
      <c r="R43" s="11"/>
      <c r="S43" s="10"/>
      <c r="U43" s="10"/>
      <c r="V43" s="12"/>
      <c r="W43" s="12"/>
      <c r="X43" s="12"/>
      <c r="Y43" s="12"/>
    </row>
    <row r="44" spans="1:25" x14ac:dyDescent="0.25">
      <c r="A44" s="3" t="str">
        <f t="shared" si="2"/>
        <v>ene</v>
      </c>
      <c r="B44" s="6"/>
      <c r="C44" s="6"/>
      <c r="D44" s="16"/>
      <c r="E44" s="6"/>
      <c r="F44" s="6"/>
      <c r="G44" s="6"/>
      <c r="H44" s="6"/>
      <c r="J44" s="30" t="s">
        <v>412</v>
      </c>
      <c r="K44" s="17" t="str">
        <f t="shared" si="0"/>
        <v/>
      </c>
      <c r="L44" s="3" t="str">
        <f t="shared" ca="1" si="1"/>
        <v>CRITICO(MAS 30 DIAS)</v>
      </c>
      <c r="M44" s="10"/>
      <c r="O44" s="10"/>
      <c r="Q44" s="39"/>
      <c r="R44" s="11"/>
      <c r="S44" s="10"/>
      <c r="U44" s="10"/>
      <c r="V44" s="12"/>
      <c r="W44" s="12"/>
      <c r="X44" s="12"/>
      <c r="Y44" s="12"/>
    </row>
    <row r="45" spans="1:25" x14ac:dyDescent="0.25">
      <c r="A45" s="3" t="str">
        <f t="shared" si="2"/>
        <v>ene</v>
      </c>
      <c r="B45" s="6"/>
      <c r="C45" s="6"/>
      <c r="D45" s="16"/>
      <c r="E45" s="6"/>
      <c r="F45" s="6"/>
      <c r="G45" s="6"/>
      <c r="H45" s="6"/>
      <c r="J45" s="30" t="s">
        <v>413</v>
      </c>
      <c r="K45" s="17" t="str">
        <f t="shared" si="0"/>
        <v/>
      </c>
      <c r="L45" s="3" t="str">
        <f t="shared" ca="1" si="1"/>
        <v>CRITICO(MAS 30 DIAS)</v>
      </c>
      <c r="M45" s="10"/>
      <c r="O45" s="10"/>
      <c r="Q45" s="39"/>
      <c r="R45" s="11"/>
      <c r="S45" s="10"/>
      <c r="U45" s="10"/>
      <c r="V45" s="12"/>
      <c r="W45" s="12"/>
      <c r="X45" s="12"/>
      <c r="Y45" s="12"/>
    </row>
    <row r="46" spans="1:25" x14ac:dyDescent="0.25">
      <c r="A46" s="3" t="str">
        <f t="shared" si="2"/>
        <v>ene</v>
      </c>
      <c r="B46" s="6"/>
      <c r="C46" s="6"/>
      <c r="D46" s="16"/>
      <c r="E46" s="6"/>
      <c r="F46" s="6"/>
      <c r="G46" s="6"/>
      <c r="H46" s="6"/>
      <c r="J46" s="30" t="s">
        <v>374</v>
      </c>
      <c r="K46" s="17" t="str">
        <f t="shared" si="0"/>
        <v/>
      </c>
      <c r="L46" s="3" t="str">
        <f t="shared" ca="1" si="1"/>
        <v>CRITICO(MAS 30 DIAS)</v>
      </c>
      <c r="M46" s="10"/>
      <c r="O46" s="10"/>
      <c r="Q46" s="39"/>
      <c r="R46" s="11"/>
      <c r="S46" s="10"/>
      <c r="U46" s="10"/>
      <c r="V46" s="12"/>
      <c r="W46" s="12"/>
      <c r="X46" s="12"/>
      <c r="Y46" s="12"/>
    </row>
    <row r="47" spans="1:25" x14ac:dyDescent="0.25">
      <c r="A47" s="3" t="str">
        <f t="shared" si="2"/>
        <v>ene</v>
      </c>
      <c r="B47" s="6"/>
      <c r="C47" s="6"/>
      <c r="D47" s="16"/>
      <c r="E47" s="6"/>
      <c r="F47" s="6"/>
      <c r="G47" s="6"/>
      <c r="H47" s="6"/>
      <c r="J47" s="30" t="s">
        <v>375</v>
      </c>
      <c r="K47" s="17" t="str">
        <f t="shared" si="0"/>
        <v/>
      </c>
      <c r="L47" s="3" t="str">
        <f t="shared" ca="1" si="1"/>
        <v>CRITICO(MAS 30 DIAS)</v>
      </c>
      <c r="M47" s="10"/>
      <c r="O47" s="10"/>
      <c r="Q47" s="39"/>
      <c r="R47" s="11"/>
      <c r="S47" s="10"/>
      <c r="U47" s="10"/>
      <c r="V47" s="12"/>
      <c r="W47" s="12"/>
      <c r="X47" s="12"/>
      <c r="Y47" s="12"/>
    </row>
    <row r="48" spans="1:25" x14ac:dyDescent="0.25">
      <c r="A48" s="3" t="str">
        <f t="shared" si="2"/>
        <v>ene</v>
      </c>
      <c r="B48" s="6"/>
      <c r="C48" s="6"/>
      <c r="D48" s="16"/>
      <c r="E48" s="6"/>
      <c r="F48" s="6"/>
      <c r="G48" s="6"/>
      <c r="H48" s="6"/>
      <c r="J48" s="30" t="s">
        <v>422</v>
      </c>
      <c r="K48" s="17">
        <f t="shared" si="0"/>
        <v>46311</v>
      </c>
      <c r="L48" s="3" t="str">
        <f t="shared" ca="1" si="1"/>
        <v>AL DIA (MENOS 10 DIAS)</v>
      </c>
      <c r="M48" s="10"/>
      <c r="N48" s="10"/>
      <c r="P48" s="10"/>
      <c r="Q48" s="40"/>
      <c r="R48" s="10"/>
      <c r="T48" s="10"/>
      <c r="U48" s="12"/>
      <c r="V48" s="12"/>
      <c r="W48" s="12"/>
      <c r="X48" s="12"/>
    </row>
    <row r="49" spans="1:25" x14ac:dyDescent="0.25">
      <c r="A49" s="3" t="str">
        <f t="shared" si="2"/>
        <v>ene</v>
      </c>
      <c r="B49" s="6"/>
      <c r="C49" s="6"/>
      <c r="D49" s="16"/>
      <c r="E49" s="6"/>
      <c r="F49" s="6"/>
      <c r="G49" s="6"/>
      <c r="H49" s="6"/>
      <c r="J49" s="30" t="s">
        <v>361</v>
      </c>
      <c r="K49" s="17" t="str">
        <f t="shared" si="0"/>
        <v/>
      </c>
      <c r="L49" s="3" t="str">
        <f t="shared" ca="1" si="1"/>
        <v>CRITICO(MAS 30 DIAS)</v>
      </c>
      <c r="M49" s="10"/>
      <c r="N49" s="11"/>
      <c r="O49" s="10"/>
      <c r="Q49" s="39"/>
      <c r="R49" s="11"/>
      <c r="S49" s="10"/>
      <c r="U49" s="10"/>
      <c r="V49" s="12"/>
      <c r="W49" s="12"/>
      <c r="X49" s="12"/>
      <c r="Y49" s="12"/>
    </row>
    <row r="50" spans="1:25" x14ac:dyDescent="0.25">
      <c r="A50" s="3" t="str">
        <f t="shared" si="2"/>
        <v>ene</v>
      </c>
      <c r="B50" s="6"/>
      <c r="C50" s="6"/>
      <c r="D50" s="16"/>
      <c r="E50" s="6"/>
      <c r="F50" s="6"/>
      <c r="G50" s="6"/>
      <c r="H50" s="6"/>
      <c r="J50" s="30" t="s">
        <v>25</v>
      </c>
      <c r="K50" s="17" t="str">
        <f t="shared" si="0"/>
        <v/>
      </c>
      <c r="L50" s="3" t="str">
        <f t="shared" ca="1" si="1"/>
        <v>CRITICO(MAS 30 DIAS)</v>
      </c>
      <c r="M50" s="10"/>
      <c r="N50" s="11"/>
      <c r="O50" s="10"/>
      <c r="Q50" s="39"/>
      <c r="R50" s="11"/>
      <c r="S50" s="10"/>
      <c r="U50" s="10"/>
      <c r="V50" s="12"/>
      <c r="W50" s="12"/>
      <c r="X50" s="12"/>
      <c r="Y50" s="12"/>
    </row>
    <row r="51" spans="1:25" x14ac:dyDescent="0.25">
      <c r="A51" s="3" t="str">
        <f t="shared" si="2"/>
        <v>ene</v>
      </c>
      <c r="B51" s="6"/>
      <c r="C51" s="6"/>
      <c r="D51" s="16"/>
      <c r="E51" s="6"/>
      <c r="F51" s="6"/>
      <c r="G51" s="6"/>
      <c r="H51" s="6"/>
      <c r="J51" s="30" t="s">
        <v>335</v>
      </c>
      <c r="K51" s="17" t="str">
        <f t="shared" si="0"/>
        <v/>
      </c>
      <c r="L51" s="3" t="str">
        <f t="shared" ca="1" si="1"/>
        <v>CRITICO(MAS 30 DIAS)</v>
      </c>
      <c r="M51" s="10"/>
      <c r="N51" s="11"/>
      <c r="O51" s="10"/>
      <c r="Q51" s="39"/>
      <c r="R51" s="11"/>
      <c r="S51" s="10"/>
      <c r="U51" s="10"/>
      <c r="V51" s="10"/>
      <c r="W51" s="10"/>
      <c r="X51" s="10"/>
      <c r="Y51" s="10"/>
    </row>
    <row r="52" spans="1:25" x14ac:dyDescent="0.25">
      <c r="A52" s="3" t="str">
        <f t="shared" si="2"/>
        <v>ene</v>
      </c>
      <c r="B52" s="6"/>
      <c r="C52" s="6"/>
      <c r="D52" s="16"/>
      <c r="E52" s="6"/>
      <c r="F52" s="6"/>
      <c r="G52" s="6"/>
      <c r="H52" s="6"/>
      <c r="J52" s="30" t="s">
        <v>339</v>
      </c>
      <c r="K52" s="17" t="str">
        <f t="shared" si="0"/>
        <v/>
      </c>
      <c r="L52" s="3" t="str">
        <f t="shared" ca="1" si="1"/>
        <v>CRITICO(MAS 30 DIAS)</v>
      </c>
      <c r="M52" s="10"/>
      <c r="N52" s="11"/>
      <c r="O52" s="10"/>
      <c r="Q52" s="39"/>
      <c r="R52" s="11"/>
      <c r="S52" s="10"/>
      <c r="U52" s="10"/>
      <c r="V52" s="10"/>
      <c r="W52" s="10"/>
      <c r="X52" s="10"/>
      <c r="Y52" s="10"/>
    </row>
    <row r="53" spans="1:25" x14ac:dyDescent="0.25">
      <c r="A53" s="3" t="str">
        <f t="shared" si="2"/>
        <v>ene</v>
      </c>
      <c r="B53" s="6"/>
      <c r="C53" s="6"/>
      <c r="D53" s="16"/>
      <c r="E53" s="6"/>
      <c r="F53" s="6"/>
      <c r="G53" s="6"/>
      <c r="H53" s="6"/>
      <c r="J53" s="30" t="s">
        <v>341</v>
      </c>
      <c r="K53" s="17" t="str">
        <f t="shared" si="0"/>
        <v/>
      </c>
      <c r="L53" s="3" t="str">
        <f t="shared" ca="1" si="1"/>
        <v>CRITICO(MAS 30 DIAS)</v>
      </c>
      <c r="M53" s="10"/>
      <c r="N53" s="11"/>
      <c r="O53" s="10"/>
      <c r="Q53" s="39"/>
      <c r="R53" s="11"/>
      <c r="S53" s="10"/>
      <c r="U53" s="10"/>
      <c r="V53" s="10"/>
      <c r="W53" s="10"/>
      <c r="X53" s="10"/>
      <c r="Y53" s="10"/>
    </row>
    <row r="54" spans="1:25" x14ac:dyDescent="0.25">
      <c r="A54" s="3" t="str">
        <f t="shared" si="2"/>
        <v>ene</v>
      </c>
      <c r="B54" s="6"/>
      <c r="C54" s="6"/>
      <c r="D54" s="16"/>
      <c r="E54" s="6"/>
      <c r="F54" s="6"/>
      <c r="G54" s="6"/>
      <c r="H54" s="6"/>
      <c r="J54" s="30" t="s">
        <v>342</v>
      </c>
      <c r="K54" s="17" t="str">
        <f t="shared" si="0"/>
        <v/>
      </c>
      <c r="L54" s="3" t="str">
        <f t="shared" ca="1" si="1"/>
        <v>CRITICO(MAS 30 DIAS)</v>
      </c>
      <c r="M54" s="10"/>
      <c r="N54" s="11"/>
      <c r="O54" s="10"/>
      <c r="Q54" s="39"/>
      <c r="R54" s="11"/>
      <c r="S54" s="10"/>
      <c r="U54" s="10"/>
      <c r="V54" s="10"/>
      <c r="W54" s="10"/>
      <c r="X54" s="10"/>
      <c r="Y54" s="10"/>
    </row>
    <row r="55" spans="1:25" x14ac:dyDescent="0.25">
      <c r="A55" s="3" t="str">
        <f t="shared" si="2"/>
        <v>ene</v>
      </c>
      <c r="B55" s="6"/>
      <c r="C55" s="6"/>
      <c r="D55" s="16"/>
      <c r="E55" s="6"/>
      <c r="F55" s="6"/>
      <c r="G55" s="6"/>
      <c r="H55" s="6"/>
      <c r="J55" s="30" t="s">
        <v>364</v>
      </c>
      <c r="K55" s="17" t="str">
        <f t="shared" si="0"/>
        <v/>
      </c>
      <c r="L55" s="3" t="str">
        <f t="shared" ca="1" si="1"/>
        <v>CRITICO(MAS 30 DIAS)</v>
      </c>
      <c r="M55" s="10"/>
      <c r="N55" s="11"/>
      <c r="O55" s="10"/>
      <c r="Q55" s="39"/>
      <c r="R55" s="11"/>
      <c r="S55" s="10"/>
      <c r="U55" s="10"/>
      <c r="V55" s="10"/>
      <c r="W55" s="10"/>
      <c r="X55" s="10"/>
      <c r="Y55" s="10"/>
    </row>
    <row r="56" spans="1:25" x14ac:dyDescent="0.25">
      <c r="A56" s="3" t="str">
        <f t="shared" si="2"/>
        <v>ene</v>
      </c>
      <c r="B56" s="6"/>
      <c r="C56" s="6"/>
      <c r="D56" s="16"/>
      <c r="E56" s="6"/>
      <c r="F56" s="6"/>
      <c r="G56" s="6"/>
      <c r="H56" s="6"/>
      <c r="J56" s="30" t="s">
        <v>233</v>
      </c>
      <c r="K56" s="17">
        <f t="shared" si="0"/>
        <v>46298</v>
      </c>
      <c r="L56" s="3" t="str">
        <f t="shared" ca="1" si="1"/>
        <v>POR REALIZAR(ALERTA)</v>
      </c>
      <c r="M56" s="10"/>
      <c r="N56" s="11"/>
      <c r="O56" s="10"/>
      <c r="Q56" s="39"/>
      <c r="R56" s="11"/>
      <c r="S56" s="10"/>
      <c r="U56" s="10"/>
      <c r="V56" s="10"/>
      <c r="W56" s="10"/>
      <c r="X56" s="10"/>
      <c r="Y56" s="10"/>
    </row>
    <row r="57" spans="1:25" x14ac:dyDescent="0.25">
      <c r="A57" s="3" t="str">
        <f t="shared" si="2"/>
        <v>ene</v>
      </c>
      <c r="B57" s="6"/>
      <c r="C57" s="6"/>
      <c r="D57" s="16"/>
      <c r="E57" s="6"/>
      <c r="F57" s="6"/>
      <c r="G57" s="6"/>
      <c r="H57" s="6"/>
      <c r="J57" s="30" t="s">
        <v>455</v>
      </c>
      <c r="K57" s="17" t="str">
        <f t="shared" si="0"/>
        <v/>
      </c>
      <c r="L57" s="3" t="str">
        <f t="shared" ca="1" si="1"/>
        <v>CRITICO(MAS 30 DIAS)</v>
      </c>
      <c r="M57" s="10"/>
      <c r="N57" s="11"/>
      <c r="O57" s="10"/>
      <c r="Q57" s="39"/>
      <c r="R57" s="11"/>
      <c r="S57" s="10"/>
      <c r="U57" s="10"/>
      <c r="V57" s="10"/>
      <c r="W57" s="10"/>
      <c r="X57" s="10"/>
      <c r="Y57" s="10"/>
    </row>
    <row r="58" spans="1:25" x14ac:dyDescent="0.25">
      <c r="A58" s="3" t="str">
        <f t="shared" si="2"/>
        <v>ene</v>
      </c>
      <c r="B58" s="6"/>
      <c r="C58" s="6"/>
      <c r="D58" s="16"/>
      <c r="E58" s="6"/>
      <c r="F58" s="6"/>
      <c r="G58" s="6"/>
      <c r="H58" s="6"/>
      <c r="J58" s="30" t="s">
        <v>359</v>
      </c>
      <c r="K58" s="17" t="str">
        <f t="shared" si="0"/>
        <v/>
      </c>
      <c r="L58" s="3" t="str">
        <f t="shared" ca="1" si="1"/>
        <v>CRITICO(MAS 30 DIAS)</v>
      </c>
      <c r="M58" s="10"/>
      <c r="N58" s="11"/>
      <c r="O58" s="10"/>
      <c r="Q58" s="39"/>
      <c r="R58" s="11"/>
      <c r="S58" s="10"/>
      <c r="U58" s="10"/>
      <c r="V58" s="10"/>
      <c r="W58" s="10"/>
      <c r="X58" s="10"/>
      <c r="Y58" s="10"/>
    </row>
    <row r="59" spans="1:25" x14ac:dyDescent="0.25">
      <c r="A59" s="3" t="str">
        <f t="shared" si="2"/>
        <v>ene</v>
      </c>
      <c r="B59" s="6"/>
      <c r="D59" s="16"/>
      <c r="E59" s="6"/>
      <c r="F59" s="6"/>
      <c r="G59" s="6"/>
      <c r="H59" s="6"/>
      <c r="J59" s="30" t="s">
        <v>221</v>
      </c>
      <c r="K59" s="17" t="str">
        <f t="shared" si="0"/>
        <v/>
      </c>
      <c r="L59" s="3" t="str">
        <f t="shared" ca="1" si="1"/>
        <v>CRITICO(MAS 30 DIAS)</v>
      </c>
      <c r="M59" s="10"/>
      <c r="N59" s="11"/>
      <c r="O59" s="10"/>
      <c r="Q59" s="39"/>
      <c r="R59" s="11"/>
      <c r="S59" s="10"/>
      <c r="U59" s="10"/>
      <c r="V59" s="10"/>
      <c r="W59" s="10"/>
      <c r="X59" s="10"/>
      <c r="Y59" s="10"/>
    </row>
    <row r="60" spans="1:25" x14ac:dyDescent="0.25">
      <c r="A60" s="3" t="str">
        <f t="shared" si="2"/>
        <v>ene</v>
      </c>
      <c r="B60" s="6"/>
      <c r="D60" s="16"/>
      <c r="E60" s="6"/>
      <c r="F60" s="6"/>
      <c r="G60" s="6"/>
      <c r="H60" s="6"/>
      <c r="J60" s="30" t="s">
        <v>193</v>
      </c>
      <c r="K60" s="17" t="str">
        <f t="shared" si="0"/>
        <v/>
      </c>
      <c r="L60" s="3" t="str">
        <f t="shared" ca="1" si="1"/>
        <v>CRITICO(MAS 30 DIAS)</v>
      </c>
      <c r="M60" s="10"/>
      <c r="N60" s="11"/>
      <c r="O60" s="10"/>
      <c r="Q60" s="39"/>
      <c r="R60" s="11"/>
      <c r="S60" s="10"/>
      <c r="U60" s="10"/>
      <c r="V60" s="10"/>
      <c r="W60" s="10"/>
      <c r="X60" s="10"/>
      <c r="Y60" s="10"/>
    </row>
    <row r="61" spans="1:25" x14ac:dyDescent="0.25">
      <c r="A61" s="3" t="str">
        <f t="shared" si="2"/>
        <v>ene</v>
      </c>
      <c r="B61" s="6"/>
      <c r="C61" s="7"/>
      <c r="D61" s="16"/>
      <c r="E61" s="6"/>
      <c r="F61" s="6"/>
      <c r="G61" s="6"/>
      <c r="H61" s="6"/>
      <c r="J61" s="30" t="s">
        <v>415</v>
      </c>
      <c r="K61" s="17" t="str">
        <f t="shared" si="0"/>
        <v/>
      </c>
      <c r="L61" s="3" t="str">
        <f t="shared" ca="1" si="1"/>
        <v>CRITICO(MAS 30 DIAS)</v>
      </c>
      <c r="M61" s="10"/>
      <c r="N61" s="11"/>
      <c r="O61" s="10"/>
      <c r="Q61" s="39"/>
      <c r="R61" s="11"/>
      <c r="S61" s="10"/>
      <c r="U61" s="10"/>
      <c r="V61" s="10"/>
      <c r="W61" s="10"/>
      <c r="X61" s="10"/>
      <c r="Y61" s="10"/>
    </row>
    <row r="62" spans="1:25" x14ac:dyDescent="0.25">
      <c r="A62" s="3" t="str">
        <f t="shared" si="2"/>
        <v>ene</v>
      </c>
      <c r="B62" s="6"/>
      <c r="D62" s="16"/>
      <c r="E62" s="6"/>
      <c r="F62" s="6"/>
      <c r="G62" s="6"/>
      <c r="H62" s="6"/>
      <c r="J62" s="30" t="s">
        <v>386</v>
      </c>
      <c r="K62" s="17" t="str">
        <f t="shared" si="0"/>
        <v/>
      </c>
      <c r="L62" s="3" t="str">
        <f t="shared" ca="1" si="1"/>
        <v>CRITICO(MAS 30 DIAS)</v>
      </c>
      <c r="M62" s="10"/>
      <c r="N62" s="11"/>
      <c r="O62" s="10"/>
      <c r="Q62" s="39"/>
      <c r="R62" s="11"/>
      <c r="S62" s="10"/>
      <c r="U62" s="10"/>
      <c r="V62" s="10"/>
      <c r="W62" s="10"/>
      <c r="X62" s="10"/>
      <c r="Y62" s="10"/>
    </row>
    <row r="63" spans="1:25" x14ac:dyDescent="0.25">
      <c r="A63" s="3" t="str">
        <f t="shared" si="2"/>
        <v>ene</v>
      </c>
      <c r="J63" s="30" t="s">
        <v>88</v>
      </c>
      <c r="K63" s="17" t="str">
        <f t="shared" si="0"/>
        <v/>
      </c>
      <c r="L63" s="3" t="str">
        <f t="shared" ca="1" si="1"/>
        <v>CRITICO(MAS 30 DIAS)</v>
      </c>
      <c r="M63" s="10"/>
      <c r="N63" s="11"/>
      <c r="O63" s="10"/>
      <c r="Q63" s="39"/>
      <c r="R63" s="11"/>
      <c r="S63" s="10"/>
      <c r="U63" s="10"/>
      <c r="V63" s="10"/>
      <c r="W63" s="10"/>
      <c r="X63" s="10"/>
      <c r="Y63" s="10"/>
    </row>
    <row r="64" spans="1:25" x14ac:dyDescent="0.25">
      <c r="A64" s="3" t="str">
        <f t="shared" si="2"/>
        <v>ene</v>
      </c>
      <c r="J64" s="30" t="s">
        <v>380</v>
      </c>
      <c r="K64" s="17" t="str">
        <f t="shared" si="0"/>
        <v/>
      </c>
      <c r="L64" s="3" t="str">
        <f t="shared" ca="1" si="1"/>
        <v>CRITICO(MAS 30 DIAS)</v>
      </c>
      <c r="M64" s="10"/>
      <c r="N64" s="11"/>
      <c r="O64" s="10"/>
      <c r="Q64" s="39"/>
      <c r="R64" s="11"/>
      <c r="S64" s="10"/>
      <c r="U64" s="10"/>
      <c r="V64" s="10"/>
      <c r="W64" s="10"/>
      <c r="X64" s="10"/>
      <c r="Y64" s="10"/>
    </row>
    <row r="65" spans="1:25" x14ac:dyDescent="0.25">
      <c r="A65" s="3" t="str">
        <f t="shared" si="2"/>
        <v>ene</v>
      </c>
      <c r="J65" s="30" t="s">
        <v>405</v>
      </c>
      <c r="K65" s="17" t="str">
        <f t="shared" si="0"/>
        <v/>
      </c>
      <c r="L65" s="3" t="str">
        <f t="shared" ca="1" si="1"/>
        <v>CRITICO(MAS 30 DIAS)</v>
      </c>
      <c r="M65" s="10"/>
      <c r="N65" s="11"/>
      <c r="O65" s="10"/>
      <c r="Q65" s="39"/>
      <c r="R65" s="11"/>
      <c r="S65" s="10"/>
      <c r="U65" s="10"/>
      <c r="V65" s="10"/>
      <c r="W65" s="10"/>
      <c r="X65" s="10"/>
      <c r="Y65" s="10"/>
    </row>
    <row r="66" spans="1:25" x14ac:dyDescent="0.25">
      <c r="A66" s="3" t="str">
        <f t="shared" si="2"/>
        <v>ene</v>
      </c>
      <c r="J66" s="30" t="s">
        <v>404</v>
      </c>
      <c r="K66" s="17" t="str">
        <f t="shared" si="0"/>
        <v/>
      </c>
      <c r="L66" s="3" t="str">
        <f t="shared" ca="1" si="1"/>
        <v>CRITICO(MAS 30 DIAS)</v>
      </c>
      <c r="M66" s="10"/>
      <c r="N66" s="11"/>
      <c r="O66" s="10"/>
      <c r="Q66" s="39"/>
      <c r="R66" s="11"/>
      <c r="S66" s="10"/>
      <c r="U66" s="10"/>
      <c r="V66" s="10"/>
      <c r="W66" s="10"/>
      <c r="X66" s="10"/>
      <c r="Y66" s="10"/>
    </row>
    <row r="67" spans="1:25" x14ac:dyDescent="0.25">
      <c r="A67" s="3" t="str">
        <f t="shared" si="2"/>
        <v>ene</v>
      </c>
      <c r="J67" s="30" t="s">
        <v>241</v>
      </c>
      <c r="K67" s="17" t="str">
        <f t="shared" ref="K67:K130" si="3">IFERROR(LOOKUP(2,1/($B$3:$B$1001=J67),$D$3:$D$1001),"")</f>
        <v/>
      </c>
      <c r="L67" s="3" t="str">
        <f t="shared" ref="L67:L130" ca="1" si="4">IF(OR(K67="",K67=0),"CRITICO(MAS 30 DIAS)",IF(TODAY()-K67&gt;=30,"CRITICO(MAS 30 DIAS)",IF(TODAY()-K67&gt;=15,"POR REALIZAR(ALERTA)","AL DIA (MENOS 10 DIAS)")))</f>
        <v>CRITICO(MAS 30 DIAS)</v>
      </c>
      <c r="M67" s="10"/>
      <c r="N67" s="11"/>
      <c r="O67" s="10"/>
      <c r="Q67" s="39"/>
      <c r="R67" s="11"/>
      <c r="S67" s="10"/>
      <c r="U67" s="10"/>
      <c r="V67" s="10"/>
      <c r="W67" s="10"/>
      <c r="X67" s="10"/>
      <c r="Y67" s="10"/>
    </row>
    <row r="68" spans="1:25" x14ac:dyDescent="0.25">
      <c r="A68" s="3" t="str">
        <f t="shared" si="2"/>
        <v>ene</v>
      </c>
      <c r="J68" s="30" t="s">
        <v>385</v>
      </c>
      <c r="K68" s="17" t="str">
        <f t="shared" si="3"/>
        <v/>
      </c>
      <c r="L68" s="3" t="str">
        <f t="shared" ca="1" si="4"/>
        <v>CRITICO(MAS 30 DIAS)</v>
      </c>
      <c r="M68" s="10"/>
      <c r="N68" s="11"/>
      <c r="O68" s="10"/>
      <c r="Q68" s="39"/>
      <c r="R68" s="11"/>
      <c r="S68" s="10"/>
      <c r="U68" s="10"/>
      <c r="V68" s="10"/>
      <c r="W68" s="10"/>
      <c r="X68" s="10"/>
      <c r="Y68" s="10"/>
    </row>
    <row r="69" spans="1:25" x14ac:dyDescent="0.25">
      <c r="A69" s="3" t="str">
        <f t="shared" si="2"/>
        <v>ene</v>
      </c>
      <c r="J69" s="30" t="s">
        <v>376</v>
      </c>
      <c r="K69" s="17" t="str">
        <f t="shared" si="3"/>
        <v/>
      </c>
      <c r="L69" s="3" t="str">
        <f t="shared" ca="1" si="4"/>
        <v>CRITICO(MAS 30 DIAS)</v>
      </c>
      <c r="M69" s="10"/>
      <c r="N69" s="11"/>
      <c r="O69" s="10"/>
      <c r="Q69" s="39"/>
      <c r="R69" s="11"/>
      <c r="S69" s="10"/>
      <c r="U69" s="10"/>
      <c r="V69" s="10"/>
      <c r="W69" s="10"/>
      <c r="X69" s="10"/>
      <c r="Y69" s="10"/>
    </row>
    <row r="70" spans="1:25" x14ac:dyDescent="0.25">
      <c r="A70" s="3" t="str">
        <f t="shared" ref="A70:A133" si="5">TEXT($D70,"mmm")</f>
        <v>ene</v>
      </c>
      <c r="J70" s="30" t="s">
        <v>97</v>
      </c>
      <c r="K70" s="17" t="str">
        <f t="shared" si="3"/>
        <v/>
      </c>
      <c r="L70" s="3" t="str">
        <f t="shared" ca="1" si="4"/>
        <v>CRITICO(MAS 30 DIAS)</v>
      </c>
      <c r="M70" s="10"/>
      <c r="N70" s="11"/>
      <c r="O70" s="10"/>
      <c r="Q70" s="39"/>
      <c r="R70" s="11"/>
      <c r="S70" s="10"/>
      <c r="U70" s="10"/>
      <c r="V70" s="10"/>
      <c r="W70" s="10"/>
      <c r="X70" s="10"/>
      <c r="Y70" s="10"/>
    </row>
    <row r="71" spans="1:25" x14ac:dyDescent="0.25">
      <c r="A71" s="3" t="str">
        <f t="shared" si="5"/>
        <v>ene</v>
      </c>
      <c r="J71" s="30" t="s">
        <v>432</v>
      </c>
      <c r="K71" s="17" t="str">
        <f t="shared" si="3"/>
        <v/>
      </c>
      <c r="L71" s="3" t="str">
        <f t="shared" ca="1" si="4"/>
        <v>CRITICO(MAS 30 DIAS)</v>
      </c>
      <c r="M71" s="10"/>
      <c r="N71" s="11"/>
      <c r="O71" s="10"/>
      <c r="Q71" s="39"/>
      <c r="R71" s="11"/>
      <c r="S71" s="10"/>
      <c r="U71" s="10"/>
      <c r="V71" s="10"/>
      <c r="W71" s="10"/>
      <c r="X71" s="10"/>
      <c r="Y71" s="10"/>
    </row>
    <row r="72" spans="1:25" x14ac:dyDescent="0.25">
      <c r="A72" s="3" t="str">
        <f t="shared" si="5"/>
        <v>ene</v>
      </c>
      <c r="J72" s="30" t="s">
        <v>403</v>
      </c>
      <c r="K72" s="17" t="str">
        <f t="shared" si="3"/>
        <v/>
      </c>
      <c r="L72" s="3" t="str">
        <f t="shared" ca="1" si="4"/>
        <v>CRITICO(MAS 30 DIAS)</v>
      </c>
      <c r="M72" s="10"/>
      <c r="N72" s="11"/>
      <c r="O72" s="10"/>
      <c r="Q72" s="39"/>
      <c r="R72" s="11"/>
      <c r="S72" s="10"/>
      <c r="U72" s="10"/>
      <c r="V72" s="10"/>
      <c r="W72" s="10"/>
      <c r="X72" s="10"/>
      <c r="Y72" s="10"/>
    </row>
    <row r="73" spans="1:25" x14ac:dyDescent="0.25">
      <c r="A73" s="3" t="str">
        <f t="shared" si="5"/>
        <v>ene</v>
      </c>
      <c r="C73" s="7"/>
      <c r="J73" s="30" t="s">
        <v>418</v>
      </c>
      <c r="K73" s="17" t="str">
        <f t="shared" si="3"/>
        <v/>
      </c>
      <c r="L73" s="3" t="str">
        <f t="shared" ca="1" si="4"/>
        <v>CRITICO(MAS 30 DIAS)</v>
      </c>
      <c r="M73" s="10"/>
      <c r="N73" s="11"/>
      <c r="O73" s="10"/>
      <c r="Q73" s="39"/>
      <c r="R73" s="11"/>
      <c r="S73" s="10"/>
      <c r="U73" s="10"/>
      <c r="V73" s="10"/>
      <c r="W73" s="10"/>
      <c r="X73" s="10"/>
      <c r="Y73" s="10"/>
    </row>
    <row r="74" spans="1:25" x14ac:dyDescent="0.25">
      <c r="A74" s="3" t="str">
        <f t="shared" si="5"/>
        <v>ene</v>
      </c>
      <c r="J74" s="30" t="s">
        <v>314</v>
      </c>
      <c r="K74" s="17">
        <f t="shared" si="3"/>
        <v>46091</v>
      </c>
      <c r="L74" s="3" t="str">
        <f t="shared" ca="1" si="4"/>
        <v>CRITICO(MAS 30 DIAS)</v>
      </c>
      <c r="M74" s="10"/>
      <c r="N74" s="11"/>
      <c r="O74" s="10"/>
      <c r="Q74" s="39"/>
      <c r="R74" s="11"/>
      <c r="S74" s="10"/>
      <c r="U74" s="10"/>
      <c r="V74" s="10"/>
      <c r="W74" s="10"/>
      <c r="X74" s="10"/>
      <c r="Y74" s="10"/>
    </row>
    <row r="75" spans="1:25" x14ac:dyDescent="0.25">
      <c r="A75" s="3" t="str">
        <f t="shared" si="5"/>
        <v>ene</v>
      </c>
      <c r="J75" s="30" t="s">
        <v>395</v>
      </c>
      <c r="K75" s="17" t="str">
        <f t="shared" si="3"/>
        <v/>
      </c>
      <c r="L75" s="3" t="str">
        <f t="shared" ca="1" si="4"/>
        <v>CRITICO(MAS 30 DIAS)</v>
      </c>
      <c r="M75" s="10"/>
      <c r="N75" s="11"/>
      <c r="O75" s="10"/>
      <c r="Q75" s="39"/>
      <c r="R75" s="11"/>
      <c r="S75" s="10"/>
      <c r="U75" s="10"/>
      <c r="V75" s="10"/>
      <c r="W75" s="10"/>
      <c r="X75" s="10"/>
      <c r="Y75" s="10"/>
    </row>
    <row r="76" spans="1:25" x14ac:dyDescent="0.25">
      <c r="A76" s="3" t="str">
        <f t="shared" si="5"/>
        <v>ene</v>
      </c>
      <c r="J76" s="30" t="s">
        <v>32</v>
      </c>
      <c r="K76" s="17" t="str">
        <f t="shared" si="3"/>
        <v/>
      </c>
      <c r="L76" s="3" t="str">
        <f t="shared" ca="1" si="4"/>
        <v>CRITICO(MAS 30 DIAS)</v>
      </c>
      <c r="M76" s="10"/>
      <c r="N76" s="11"/>
      <c r="O76" s="10"/>
      <c r="P76" s="11"/>
      <c r="Q76" s="39"/>
      <c r="R76" s="11"/>
      <c r="S76" s="10"/>
      <c r="U76" s="10"/>
      <c r="V76" s="10"/>
      <c r="W76" s="10"/>
      <c r="X76" s="10"/>
      <c r="Y76" s="10"/>
    </row>
    <row r="77" spans="1:25" x14ac:dyDescent="0.25">
      <c r="A77" s="3" t="str">
        <f t="shared" si="5"/>
        <v>ene</v>
      </c>
      <c r="J77" s="30" t="s">
        <v>446</v>
      </c>
      <c r="K77" s="17" t="str">
        <f t="shared" si="3"/>
        <v/>
      </c>
      <c r="L77" s="3" t="str">
        <f t="shared" ca="1" si="4"/>
        <v>CRITICO(MAS 30 DIAS)</v>
      </c>
      <c r="M77" s="10"/>
      <c r="N77" s="11"/>
      <c r="O77" s="10"/>
      <c r="P77" s="11"/>
      <c r="Q77" s="39"/>
      <c r="R77" s="11"/>
      <c r="S77" s="10"/>
      <c r="U77" s="10"/>
      <c r="V77" s="10"/>
      <c r="W77" s="10"/>
      <c r="X77" s="10"/>
      <c r="Y77" s="10"/>
    </row>
    <row r="78" spans="1:25" x14ac:dyDescent="0.25">
      <c r="A78" s="3" t="str">
        <f t="shared" si="5"/>
        <v>ene</v>
      </c>
      <c r="J78" s="30" t="s">
        <v>392</v>
      </c>
      <c r="K78" s="17" t="str">
        <f t="shared" si="3"/>
        <v/>
      </c>
      <c r="L78" s="3" t="str">
        <f t="shared" ca="1" si="4"/>
        <v>CRITICO(MAS 30 DIAS)</v>
      </c>
      <c r="M78" s="10"/>
      <c r="N78" s="11"/>
      <c r="O78" s="10"/>
      <c r="P78" s="11"/>
      <c r="Q78" s="39"/>
      <c r="R78" s="11"/>
      <c r="S78" s="10"/>
      <c r="U78" s="10"/>
      <c r="V78" s="10"/>
      <c r="W78" s="10"/>
      <c r="X78" s="10"/>
      <c r="Y78" s="10"/>
    </row>
    <row r="79" spans="1:25" x14ac:dyDescent="0.25">
      <c r="A79" s="3" t="str">
        <f t="shared" si="5"/>
        <v>ene</v>
      </c>
      <c r="J79" s="30" t="s">
        <v>393</v>
      </c>
      <c r="K79" s="17" t="str">
        <f t="shared" si="3"/>
        <v/>
      </c>
      <c r="L79" s="3" t="str">
        <f t="shared" ca="1" si="4"/>
        <v>CRITICO(MAS 30 DIAS)</v>
      </c>
      <c r="M79" s="10"/>
      <c r="N79" s="11"/>
      <c r="O79" s="10"/>
      <c r="P79" s="11"/>
      <c r="Q79" s="39"/>
      <c r="R79" s="11"/>
      <c r="S79" s="10"/>
      <c r="U79" s="10"/>
      <c r="V79" s="10"/>
      <c r="W79" s="10"/>
      <c r="X79" s="10"/>
      <c r="Y79" s="10"/>
    </row>
    <row r="80" spans="1:25" x14ac:dyDescent="0.25">
      <c r="A80" s="3" t="str">
        <f t="shared" si="5"/>
        <v>ene</v>
      </c>
      <c r="J80" s="30" t="s">
        <v>398</v>
      </c>
      <c r="K80" s="17" t="str">
        <f t="shared" si="3"/>
        <v/>
      </c>
      <c r="L80" s="3" t="str">
        <f t="shared" ca="1" si="4"/>
        <v>CRITICO(MAS 30 DIAS)</v>
      </c>
      <c r="M80" s="10"/>
      <c r="N80" s="11"/>
      <c r="O80" s="10"/>
      <c r="P80" s="11"/>
      <c r="Q80" s="39"/>
      <c r="R80" s="11"/>
      <c r="S80" s="10"/>
      <c r="U80" s="10"/>
      <c r="V80" s="10"/>
      <c r="W80" s="10"/>
      <c r="X80" s="10"/>
      <c r="Y80" s="10"/>
    </row>
    <row r="81" spans="1:25" x14ac:dyDescent="0.25">
      <c r="A81" s="3" t="str">
        <f t="shared" si="5"/>
        <v>ene</v>
      </c>
      <c r="J81" s="30" t="s">
        <v>103</v>
      </c>
      <c r="K81" s="17" t="str">
        <f t="shared" si="3"/>
        <v/>
      </c>
      <c r="L81" s="3" t="str">
        <f t="shared" ca="1" si="4"/>
        <v>CRITICO(MAS 30 DIAS)</v>
      </c>
      <c r="M81" s="10"/>
      <c r="N81" s="11"/>
      <c r="O81" s="10"/>
      <c r="P81" s="11"/>
      <c r="Q81" s="39"/>
      <c r="R81" s="11"/>
      <c r="S81" s="10"/>
      <c r="U81" s="10"/>
      <c r="V81" s="10"/>
      <c r="W81" s="10"/>
      <c r="X81" s="10"/>
      <c r="Y81" s="10"/>
    </row>
    <row r="82" spans="1:25" x14ac:dyDescent="0.25">
      <c r="A82" s="3" t="str">
        <f t="shared" si="5"/>
        <v>ene</v>
      </c>
      <c r="J82" s="30" t="s">
        <v>104</v>
      </c>
      <c r="K82" s="17" t="str">
        <f t="shared" si="3"/>
        <v/>
      </c>
      <c r="L82" s="3" t="str">
        <f t="shared" ca="1" si="4"/>
        <v>CRITICO(MAS 30 DIAS)</v>
      </c>
      <c r="M82" s="10"/>
      <c r="N82" s="11"/>
      <c r="O82" s="10"/>
      <c r="P82" s="11"/>
      <c r="Q82" s="39"/>
      <c r="R82" s="11"/>
      <c r="S82" s="10"/>
      <c r="U82" s="10"/>
      <c r="V82" s="10"/>
      <c r="W82" s="10"/>
      <c r="X82" s="10"/>
      <c r="Y82" s="10"/>
    </row>
    <row r="83" spans="1:25" x14ac:dyDescent="0.25">
      <c r="A83" s="3" t="str">
        <f t="shared" si="5"/>
        <v>ene</v>
      </c>
      <c r="J83" s="30" t="s">
        <v>246</v>
      </c>
      <c r="K83" s="17" t="str">
        <f t="shared" si="3"/>
        <v/>
      </c>
      <c r="L83" s="3" t="str">
        <f t="shared" ca="1" si="4"/>
        <v>CRITICO(MAS 30 DIAS)</v>
      </c>
      <c r="M83" s="10"/>
      <c r="N83" s="11"/>
      <c r="O83" s="10"/>
      <c r="P83" s="11"/>
      <c r="Q83" s="39"/>
      <c r="R83" s="11"/>
      <c r="S83" s="10"/>
      <c r="U83" s="10"/>
      <c r="V83" s="10"/>
      <c r="W83" s="10"/>
      <c r="X83" s="10"/>
      <c r="Y83" s="10"/>
    </row>
    <row r="84" spans="1:25" x14ac:dyDescent="0.25">
      <c r="A84" s="3" t="str">
        <f t="shared" si="5"/>
        <v>ene</v>
      </c>
      <c r="J84" s="30" t="s">
        <v>34</v>
      </c>
      <c r="K84" s="17" t="str">
        <f t="shared" si="3"/>
        <v/>
      </c>
      <c r="L84" s="3" t="str">
        <f t="shared" ca="1" si="4"/>
        <v>CRITICO(MAS 30 DIAS)</v>
      </c>
      <c r="M84" s="10"/>
      <c r="N84" s="11"/>
      <c r="O84" s="10"/>
      <c r="P84" s="11"/>
      <c r="Q84" s="39"/>
      <c r="R84" s="11"/>
      <c r="S84" s="10"/>
      <c r="U84" s="10"/>
      <c r="V84" s="10"/>
      <c r="W84" s="10"/>
      <c r="X84" s="10"/>
      <c r="Y84" s="10"/>
    </row>
    <row r="85" spans="1:25" x14ac:dyDescent="0.25">
      <c r="A85" s="3" t="str">
        <f t="shared" si="5"/>
        <v>ene</v>
      </c>
      <c r="J85" s="30" t="s">
        <v>452</v>
      </c>
      <c r="K85" s="17" t="str">
        <f t="shared" si="3"/>
        <v/>
      </c>
      <c r="L85" s="3" t="str">
        <f t="shared" ca="1" si="4"/>
        <v>CRITICO(MAS 30 DIAS)</v>
      </c>
      <c r="M85" s="10"/>
      <c r="N85" s="11"/>
      <c r="O85" s="10"/>
      <c r="P85" s="11"/>
      <c r="Q85" s="39"/>
      <c r="R85" s="11"/>
      <c r="S85" s="10"/>
      <c r="U85" s="10"/>
      <c r="V85" s="10"/>
      <c r="W85" s="10"/>
      <c r="X85" s="10"/>
      <c r="Y85" s="10"/>
    </row>
    <row r="86" spans="1:25" x14ac:dyDescent="0.25">
      <c r="A86" s="3" t="str">
        <f t="shared" si="5"/>
        <v>ene</v>
      </c>
      <c r="J86" s="30" t="s">
        <v>35</v>
      </c>
      <c r="K86" s="17" t="str">
        <f t="shared" si="3"/>
        <v/>
      </c>
      <c r="L86" s="3" t="str">
        <f t="shared" ca="1" si="4"/>
        <v>CRITICO(MAS 30 DIAS)</v>
      </c>
      <c r="M86" s="10"/>
      <c r="N86" s="11"/>
      <c r="O86" s="10"/>
      <c r="P86" s="11"/>
      <c r="Q86" s="39"/>
      <c r="R86" s="11"/>
      <c r="S86" s="10"/>
      <c r="U86" s="10"/>
      <c r="V86" s="10"/>
      <c r="W86" s="10"/>
      <c r="X86" s="10"/>
      <c r="Y86" s="10"/>
    </row>
    <row r="87" spans="1:25" x14ac:dyDescent="0.25">
      <c r="A87" s="3" t="str">
        <f t="shared" si="5"/>
        <v>ene</v>
      </c>
      <c r="J87" s="30" t="s">
        <v>360</v>
      </c>
      <c r="K87" s="17">
        <f t="shared" si="3"/>
        <v>46309</v>
      </c>
      <c r="L87" s="3" t="str">
        <f t="shared" ca="1" si="4"/>
        <v>AL DIA (MENOS 10 DIAS)</v>
      </c>
      <c r="M87" s="10"/>
      <c r="N87" s="11"/>
      <c r="O87" s="10"/>
      <c r="P87" s="11"/>
      <c r="Q87" s="39"/>
      <c r="R87" s="11"/>
      <c r="S87" s="10"/>
      <c r="U87" s="10"/>
      <c r="V87" s="10"/>
      <c r="W87" s="10"/>
      <c r="X87" s="10"/>
      <c r="Y87" s="10"/>
    </row>
    <row r="88" spans="1:25" x14ac:dyDescent="0.25">
      <c r="A88" s="3" t="str">
        <f t="shared" si="5"/>
        <v>ene</v>
      </c>
      <c r="J88" s="30" t="s">
        <v>445</v>
      </c>
      <c r="K88" s="17" t="str">
        <f t="shared" si="3"/>
        <v/>
      </c>
      <c r="L88" s="3" t="str">
        <f t="shared" ca="1" si="4"/>
        <v>CRITICO(MAS 30 DIAS)</v>
      </c>
      <c r="M88" s="10"/>
      <c r="N88" s="11"/>
      <c r="O88" s="10"/>
      <c r="P88" s="11"/>
      <c r="Q88" s="39"/>
      <c r="R88" s="11"/>
      <c r="S88" s="10"/>
      <c r="U88" s="10"/>
      <c r="V88" s="10"/>
      <c r="W88" s="10"/>
      <c r="X88" s="10"/>
      <c r="Y88" s="10"/>
    </row>
    <row r="89" spans="1:25" x14ac:dyDescent="0.25">
      <c r="A89" s="3" t="str">
        <f t="shared" si="5"/>
        <v>ene</v>
      </c>
      <c r="J89" s="30" t="s">
        <v>195</v>
      </c>
      <c r="K89" s="17" t="str">
        <f t="shared" si="3"/>
        <v/>
      </c>
      <c r="L89" s="3" t="str">
        <f t="shared" ca="1" si="4"/>
        <v>CRITICO(MAS 30 DIAS)</v>
      </c>
      <c r="M89" s="10"/>
      <c r="N89" s="11"/>
      <c r="O89" s="10"/>
      <c r="P89" s="11"/>
      <c r="Q89" s="39"/>
      <c r="R89" s="11"/>
      <c r="S89" s="10"/>
      <c r="U89" s="10"/>
      <c r="V89" s="10"/>
      <c r="W89" s="10"/>
      <c r="X89" s="10"/>
      <c r="Y89" s="10"/>
    </row>
    <row r="90" spans="1:25" x14ac:dyDescent="0.25">
      <c r="A90" s="3" t="str">
        <f t="shared" si="5"/>
        <v>ene</v>
      </c>
      <c r="J90" s="30" t="s">
        <v>458</v>
      </c>
      <c r="K90" s="17" t="str">
        <f t="shared" si="3"/>
        <v/>
      </c>
      <c r="L90" s="3" t="str">
        <f t="shared" ca="1" si="4"/>
        <v>CRITICO(MAS 30 DIAS)</v>
      </c>
      <c r="M90" s="10"/>
      <c r="N90" s="11"/>
      <c r="O90" s="10"/>
      <c r="P90" s="11"/>
      <c r="Q90" s="39"/>
      <c r="R90" s="11"/>
      <c r="S90" s="10"/>
      <c r="U90" s="10"/>
      <c r="V90" s="10"/>
      <c r="W90" s="10"/>
      <c r="X90" s="10"/>
      <c r="Y90" s="10"/>
    </row>
    <row r="91" spans="1:25" x14ac:dyDescent="0.25">
      <c r="A91" s="3" t="str">
        <f t="shared" si="5"/>
        <v>ene</v>
      </c>
      <c r="J91" s="30" t="s">
        <v>107</v>
      </c>
      <c r="K91" s="17" t="str">
        <f t="shared" si="3"/>
        <v/>
      </c>
      <c r="L91" s="3" t="str">
        <f t="shared" ca="1" si="4"/>
        <v>CRITICO(MAS 30 DIAS)</v>
      </c>
      <c r="M91" s="10"/>
      <c r="N91" s="11"/>
      <c r="O91" s="10"/>
      <c r="P91" s="11"/>
      <c r="Q91" s="39"/>
      <c r="R91" s="11"/>
      <c r="S91" s="10"/>
      <c r="U91" s="10"/>
      <c r="V91" s="10"/>
      <c r="W91" s="10"/>
      <c r="X91" s="10"/>
      <c r="Y91" s="10"/>
    </row>
    <row r="92" spans="1:25" x14ac:dyDescent="0.25">
      <c r="A92" s="3" t="str">
        <f t="shared" si="5"/>
        <v>ene</v>
      </c>
      <c r="J92" s="30" t="s">
        <v>196</v>
      </c>
      <c r="K92" s="17" t="str">
        <f t="shared" si="3"/>
        <v/>
      </c>
      <c r="L92" s="3" t="str">
        <f t="shared" ca="1" si="4"/>
        <v>CRITICO(MAS 30 DIAS)</v>
      </c>
      <c r="M92" s="10"/>
      <c r="N92" s="11"/>
      <c r="O92" s="10"/>
      <c r="P92" s="11"/>
      <c r="Q92" s="39"/>
      <c r="R92" s="11"/>
      <c r="S92" s="10"/>
      <c r="U92" s="10"/>
      <c r="V92" s="10"/>
      <c r="W92" s="10"/>
      <c r="X92" s="10"/>
      <c r="Y92" s="10"/>
    </row>
    <row r="93" spans="1:25" x14ac:dyDescent="0.25">
      <c r="A93" s="3" t="str">
        <f t="shared" si="5"/>
        <v>ene</v>
      </c>
      <c r="J93" s="30" t="s">
        <v>219</v>
      </c>
      <c r="K93" s="17" t="str">
        <f t="shared" si="3"/>
        <v/>
      </c>
      <c r="L93" s="3" t="str">
        <f t="shared" ca="1" si="4"/>
        <v>CRITICO(MAS 30 DIAS)</v>
      </c>
      <c r="M93" s="10"/>
      <c r="N93" s="11"/>
      <c r="O93" s="10"/>
      <c r="P93" s="11"/>
      <c r="Q93" s="39"/>
      <c r="R93" s="11"/>
      <c r="S93" s="10"/>
      <c r="U93" s="10"/>
      <c r="V93" s="10"/>
      <c r="W93" s="10"/>
      <c r="X93" s="10"/>
      <c r="Y93" s="10"/>
    </row>
    <row r="94" spans="1:25" x14ac:dyDescent="0.25">
      <c r="A94" s="3" t="str">
        <f t="shared" si="5"/>
        <v>ene</v>
      </c>
      <c r="J94" s="30" t="s">
        <v>459</v>
      </c>
      <c r="K94" s="17" t="str">
        <f t="shared" si="3"/>
        <v/>
      </c>
      <c r="L94" s="3" t="str">
        <f t="shared" ca="1" si="4"/>
        <v>CRITICO(MAS 30 DIAS)</v>
      </c>
      <c r="M94" s="10"/>
      <c r="N94" s="11"/>
      <c r="O94" s="10"/>
      <c r="P94" s="11"/>
      <c r="Q94" s="39"/>
      <c r="R94" s="11"/>
      <c r="S94" s="10"/>
      <c r="U94" s="10"/>
      <c r="V94" s="10"/>
      <c r="W94" s="10"/>
      <c r="X94" s="10"/>
      <c r="Y94" s="10"/>
    </row>
    <row r="95" spans="1:25" x14ac:dyDescent="0.25">
      <c r="A95" s="3" t="str">
        <f t="shared" si="5"/>
        <v>ene</v>
      </c>
      <c r="J95" s="30" t="s">
        <v>108</v>
      </c>
      <c r="K95" s="17" t="str">
        <f t="shared" si="3"/>
        <v/>
      </c>
      <c r="L95" s="3" t="str">
        <f t="shared" ca="1" si="4"/>
        <v>CRITICO(MAS 30 DIAS)</v>
      </c>
      <c r="M95" s="10"/>
      <c r="N95" s="11"/>
      <c r="O95" s="10"/>
      <c r="P95" s="11"/>
      <c r="Q95" s="39"/>
      <c r="R95" s="11"/>
      <c r="S95" s="10"/>
      <c r="U95" s="10"/>
      <c r="V95" s="10"/>
      <c r="W95" s="10"/>
      <c r="X95" s="10"/>
      <c r="Y95" s="10"/>
    </row>
    <row r="96" spans="1:25" x14ac:dyDescent="0.25">
      <c r="A96" s="3" t="str">
        <f t="shared" si="5"/>
        <v>ene</v>
      </c>
      <c r="J96" s="30" t="s">
        <v>110</v>
      </c>
      <c r="K96" s="17" t="str">
        <f t="shared" si="3"/>
        <v/>
      </c>
      <c r="L96" s="3" t="str">
        <f t="shared" ca="1" si="4"/>
        <v>CRITICO(MAS 30 DIAS)</v>
      </c>
      <c r="M96" s="10"/>
      <c r="N96" s="11"/>
      <c r="O96" s="10"/>
      <c r="P96" s="11"/>
      <c r="Q96" s="39"/>
      <c r="R96" s="11"/>
      <c r="S96" s="10"/>
      <c r="U96" s="10"/>
      <c r="V96" s="10"/>
      <c r="W96" s="10"/>
      <c r="X96" s="10"/>
      <c r="Y96" s="10"/>
    </row>
    <row r="97" spans="1:25" x14ac:dyDescent="0.25">
      <c r="A97" s="3" t="str">
        <f t="shared" si="5"/>
        <v>ene</v>
      </c>
      <c r="J97" s="30" t="s">
        <v>37</v>
      </c>
      <c r="K97" s="17" t="str">
        <f t="shared" si="3"/>
        <v/>
      </c>
      <c r="L97" s="3" t="str">
        <f t="shared" ca="1" si="4"/>
        <v>CRITICO(MAS 30 DIAS)</v>
      </c>
      <c r="M97" s="10"/>
      <c r="N97" s="11"/>
      <c r="O97" s="10"/>
      <c r="P97" s="11"/>
      <c r="Q97" s="39"/>
      <c r="R97" s="11"/>
      <c r="S97" s="10"/>
      <c r="U97" s="10"/>
      <c r="V97" s="10"/>
      <c r="W97" s="10"/>
      <c r="X97" s="10"/>
      <c r="Y97" s="10"/>
    </row>
    <row r="98" spans="1:25" x14ac:dyDescent="0.25">
      <c r="A98" s="3" t="str">
        <f t="shared" si="5"/>
        <v>ene</v>
      </c>
      <c r="J98" s="30" t="s">
        <v>447</v>
      </c>
      <c r="K98" s="17" t="str">
        <f t="shared" si="3"/>
        <v/>
      </c>
      <c r="L98" s="3" t="str">
        <f t="shared" ca="1" si="4"/>
        <v>CRITICO(MAS 30 DIAS)</v>
      </c>
      <c r="M98" s="10"/>
      <c r="N98" s="11"/>
      <c r="O98" s="10"/>
      <c r="P98" s="11"/>
      <c r="Q98" s="39"/>
      <c r="R98" s="11"/>
      <c r="S98" s="10"/>
      <c r="U98" s="10"/>
      <c r="V98" s="10"/>
      <c r="W98" s="10"/>
      <c r="X98" s="10"/>
      <c r="Y98" s="10"/>
    </row>
    <row r="99" spans="1:25" x14ac:dyDescent="0.25">
      <c r="A99" s="3" t="str">
        <f t="shared" si="5"/>
        <v>ene</v>
      </c>
      <c r="J99" s="30" t="s">
        <v>436</v>
      </c>
      <c r="K99" s="17" t="str">
        <f t="shared" si="3"/>
        <v/>
      </c>
      <c r="L99" s="3" t="str">
        <f t="shared" ca="1" si="4"/>
        <v>CRITICO(MAS 30 DIAS)</v>
      </c>
      <c r="M99" s="10"/>
      <c r="N99" s="11"/>
      <c r="O99" s="10"/>
      <c r="P99" s="11"/>
      <c r="Q99" s="39"/>
      <c r="R99" s="11"/>
      <c r="S99" s="10"/>
      <c r="U99" s="10"/>
      <c r="V99" s="10"/>
      <c r="W99" s="10"/>
      <c r="X99" s="10"/>
      <c r="Y99" s="10"/>
    </row>
    <row r="100" spans="1:25" x14ac:dyDescent="0.25">
      <c r="A100" s="3" t="str">
        <f t="shared" si="5"/>
        <v>ene</v>
      </c>
      <c r="J100" s="30" t="s">
        <v>352</v>
      </c>
      <c r="K100" s="17" t="str">
        <f t="shared" si="3"/>
        <v/>
      </c>
      <c r="L100" s="3" t="str">
        <f t="shared" ca="1" si="4"/>
        <v>CRITICO(MAS 30 DIAS)</v>
      </c>
      <c r="M100" s="10"/>
      <c r="N100" s="11"/>
      <c r="O100" s="10"/>
      <c r="P100" s="11"/>
      <c r="Q100" s="39"/>
      <c r="R100" s="11"/>
      <c r="S100" s="10"/>
      <c r="U100" s="10"/>
      <c r="V100" s="10"/>
      <c r="W100" s="10"/>
      <c r="X100" s="10"/>
      <c r="Y100" s="10"/>
    </row>
    <row r="101" spans="1:25" x14ac:dyDescent="0.25">
      <c r="A101" s="3" t="str">
        <f t="shared" si="5"/>
        <v>ene</v>
      </c>
      <c r="J101" s="30" t="s">
        <v>112</v>
      </c>
      <c r="K101" s="17">
        <f t="shared" si="3"/>
        <v>46303</v>
      </c>
      <c r="L101" s="3" t="str">
        <f t="shared" ca="1" si="4"/>
        <v>AL DIA (MENOS 10 DIAS)</v>
      </c>
      <c r="M101" s="10"/>
      <c r="N101" s="11"/>
      <c r="O101" s="10"/>
      <c r="P101" s="11"/>
      <c r="Q101" s="39"/>
      <c r="R101" s="11"/>
      <c r="S101" s="10"/>
      <c r="U101" s="10"/>
      <c r="V101" s="10"/>
      <c r="W101" s="10"/>
      <c r="X101" s="10"/>
      <c r="Y101" s="10"/>
    </row>
    <row r="102" spans="1:25" x14ac:dyDescent="0.25">
      <c r="A102" s="3" t="str">
        <f t="shared" si="5"/>
        <v>ene</v>
      </c>
      <c r="J102" s="30" t="s">
        <v>113</v>
      </c>
      <c r="K102" s="17" t="str">
        <f t="shared" si="3"/>
        <v/>
      </c>
      <c r="L102" s="3" t="str">
        <f t="shared" ca="1" si="4"/>
        <v>CRITICO(MAS 30 DIAS)</v>
      </c>
      <c r="M102" s="10"/>
      <c r="N102" s="11"/>
      <c r="O102" s="10"/>
      <c r="P102" s="11"/>
      <c r="Q102" s="39"/>
      <c r="R102" s="11"/>
      <c r="S102" s="10"/>
      <c r="U102" s="10"/>
      <c r="V102" s="10"/>
      <c r="W102" s="10"/>
      <c r="X102" s="10"/>
      <c r="Y102" s="10"/>
    </row>
    <row r="103" spans="1:25" x14ac:dyDescent="0.25">
      <c r="A103" s="3" t="str">
        <f t="shared" si="5"/>
        <v>ene</v>
      </c>
      <c r="J103" s="30" t="s">
        <v>114</v>
      </c>
      <c r="K103" s="17" t="str">
        <f t="shared" si="3"/>
        <v/>
      </c>
      <c r="L103" s="3" t="str">
        <f t="shared" ca="1" si="4"/>
        <v>CRITICO(MAS 30 DIAS)</v>
      </c>
      <c r="M103" s="10"/>
      <c r="N103" s="11"/>
      <c r="O103" s="10"/>
      <c r="P103" s="11"/>
      <c r="Q103" s="39"/>
      <c r="R103" s="11"/>
      <c r="S103" s="10"/>
      <c r="U103" s="10"/>
      <c r="V103" s="10"/>
      <c r="W103" s="10"/>
      <c r="X103" s="10"/>
      <c r="Y103" s="10"/>
    </row>
    <row r="104" spans="1:25" x14ac:dyDescent="0.25">
      <c r="A104" s="3" t="str">
        <f t="shared" si="5"/>
        <v>ene</v>
      </c>
      <c r="J104" s="30" t="s">
        <v>38</v>
      </c>
      <c r="K104" s="17" t="str">
        <f t="shared" si="3"/>
        <v/>
      </c>
      <c r="L104" s="3" t="str">
        <f t="shared" ca="1" si="4"/>
        <v>CRITICO(MAS 30 DIAS)</v>
      </c>
      <c r="M104" s="10"/>
      <c r="N104" s="11"/>
      <c r="O104" s="10"/>
      <c r="P104" s="11"/>
      <c r="Q104" s="39"/>
      <c r="R104" s="11"/>
      <c r="S104" s="10"/>
      <c r="U104" s="10"/>
      <c r="V104" s="10"/>
      <c r="W104" s="10"/>
      <c r="X104" s="10"/>
      <c r="Y104" s="10"/>
    </row>
    <row r="105" spans="1:25" x14ac:dyDescent="0.25">
      <c r="A105" s="3" t="str">
        <f t="shared" si="5"/>
        <v>ene</v>
      </c>
      <c r="J105" s="30" t="s">
        <v>39</v>
      </c>
      <c r="K105" s="17" t="str">
        <f t="shared" si="3"/>
        <v/>
      </c>
      <c r="L105" s="3" t="str">
        <f t="shared" ca="1" si="4"/>
        <v>CRITICO(MAS 30 DIAS)</v>
      </c>
      <c r="M105" s="10"/>
      <c r="N105" s="11"/>
      <c r="O105" s="10"/>
      <c r="P105" s="11"/>
      <c r="Q105" s="39"/>
      <c r="R105" s="11"/>
      <c r="S105" s="10"/>
      <c r="U105" s="10"/>
      <c r="V105" s="10"/>
      <c r="W105" s="10"/>
      <c r="X105" s="10"/>
      <c r="Y105" s="10"/>
    </row>
    <row r="106" spans="1:25" x14ac:dyDescent="0.25">
      <c r="A106" s="3" t="str">
        <f t="shared" si="5"/>
        <v>ene</v>
      </c>
      <c r="J106" s="30" t="s">
        <v>267</v>
      </c>
      <c r="K106" s="17" t="str">
        <f t="shared" si="3"/>
        <v/>
      </c>
      <c r="L106" s="3" t="str">
        <f t="shared" ca="1" si="4"/>
        <v>CRITICO(MAS 30 DIAS)</v>
      </c>
      <c r="M106" s="10"/>
      <c r="N106" s="11"/>
      <c r="O106" s="10"/>
      <c r="P106" s="11"/>
      <c r="Q106" s="39"/>
      <c r="R106" s="11"/>
      <c r="S106" s="10"/>
      <c r="U106" s="10"/>
      <c r="V106" s="10"/>
      <c r="W106" s="10"/>
      <c r="X106" s="10"/>
      <c r="Y106" s="10"/>
    </row>
    <row r="107" spans="1:25" x14ac:dyDescent="0.25">
      <c r="A107" s="3" t="str">
        <f t="shared" si="5"/>
        <v>ene</v>
      </c>
      <c r="J107" s="30" t="s">
        <v>391</v>
      </c>
      <c r="K107" s="17" t="str">
        <f t="shared" si="3"/>
        <v/>
      </c>
      <c r="L107" s="3" t="str">
        <f t="shared" ca="1" si="4"/>
        <v>CRITICO(MAS 30 DIAS)</v>
      </c>
      <c r="M107" s="10"/>
      <c r="N107" s="11"/>
      <c r="O107" s="10"/>
      <c r="P107" s="11"/>
      <c r="Q107" s="39"/>
      <c r="R107" s="11"/>
      <c r="S107" s="10"/>
      <c r="U107" s="10"/>
      <c r="V107" s="10"/>
      <c r="W107" s="10"/>
      <c r="X107" s="10"/>
      <c r="Y107" s="10"/>
    </row>
    <row r="108" spans="1:25" x14ac:dyDescent="0.25">
      <c r="A108" s="3" t="str">
        <f t="shared" si="5"/>
        <v>ene</v>
      </c>
      <c r="J108" s="30" t="s">
        <v>40</v>
      </c>
      <c r="K108" s="17" t="str">
        <f t="shared" si="3"/>
        <v/>
      </c>
      <c r="L108" s="3" t="str">
        <f t="shared" ca="1" si="4"/>
        <v>CRITICO(MAS 30 DIAS)</v>
      </c>
      <c r="M108" s="10"/>
      <c r="N108" s="11"/>
      <c r="O108" s="10"/>
      <c r="P108" s="11"/>
      <c r="Q108" s="39"/>
      <c r="R108" s="11"/>
      <c r="S108" s="10"/>
      <c r="U108" s="10"/>
      <c r="V108" s="10"/>
      <c r="W108" s="10"/>
      <c r="X108" s="10"/>
      <c r="Y108" s="10"/>
    </row>
    <row r="109" spans="1:25" x14ac:dyDescent="0.25">
      <c r="A109" s="3" t="str">
        <f t="shared" si="5"/>
        <v>ene</v>
      </c>
      <c r="J109" s="30" t="s">
        <v>442</v>
      </c>
      <c r="K109" s="17" t="str">
        <f t="shared" si="3"/>
        <v/>
      </c>
      <c r="L109" s="3" t="str">
        <f t="shared" ca="1" si="4"/>
        <v>CRITICO(MAS 30 DIAS)</v>
      </c>
      <c r="M109" s="10"/>
      <c r="N109" s="11"/>
      <c r="O109" s="10"/>
      <c r="P109" s="11"/>
      <c r="Q109" s="39"/>
      <c r="R109" s="11"/>
      <c r="S109" s="10"/>
      <c r="U109" s="10"/>
      <c r="V109" s="10"/>
      <c r="W109" s="10"/>
      <c r="X109" s="10"/>
      <c r="Y109" s="10"/>
    </row>
    <row r="110" spans="1:25" x14ac:dyDescent="0.25">
      <c r="A110" s="3" t="str">
        <f t="shared" si="5"/>
        <v>ene</v>
      </c>
      <c r="J110" s="30" t="s">
        <v>115</v>
      </c>
      <c r="K110" s="17">
        <f t="shared" si="3"/>
        <v>46300</v>
      </c>
      <c r="L110" s="3" t="str">
        <f t="shared" ca="1" si="4"/>
        <v>AL DIA (MENOS 10 DIAS)</v>
      </c>
      <c r="M110" s="10"/>
      <c r="N110" s="11"/>
      <c r="O110" s="10"/>
      <c r="P110" s="11"/>
      <c r="Q110" s="39"/>
      <c r="R110" s="11"/>
      <c r="S110" s="10"/>
      <c r="U110" s="10"/>
      <c r="V110" s="10"/>
      <c r="W110" s="10"/>
      <c r="X110" s="10"/>
      <c r="Y110" s="10"/>
    </row>
    <row r="111" spans="1:25" x14ac:dyDescent="0.25">
      <c r="A111" s="3" t="str">
        <f t="shared" si="5"/>
        <v>ene</v>
      </c>
      <c r="J111" s="30" t="s">
        <v>431</v>
      </c>
      <c r="K111" s="17" t="str">
        <f t="shared" si="3"/>
        <v/>
      </c>
      <c r="L111" s="3" t="str">
        <f t="shared" ca="1" si="4"/>
        <v>CRITICO(MAS 30 DIAS)</v>
      </c>
      <c r="M111" s="10"/>
      <c r="N111" s="11"/>
      <c r="O111" s="10"/>
      <c r="P111" s="11"/>
      <c r="Q111" s="39"/>
      <c r="R111" s="11"/>
      <c r="S111" s="10"/>
      <c r="U111" s="10"/>
      <c r="V111" s="10"/>
      <c r="W111" s="10"/>
      <c r="X111" s="10"/>
      <c r="Y111" s="10"/>
    </row>
    <row r="112" spans="1:25" x14ac:dyDescent="0.25">
      <c r="A112" s="3" t="str">
        <f t="shared" si="5"/>
        <v>ene</v>
      </c>
      <c r="J112" s="30" t="s">
        <v>438</v>
      </c>
      <c r="K112" s="17">
        <f t="shared" si="3"/>
        <v>46303</v>
      </c>
      <c r="L112" s="3" t="str">
        <f t="shared" ca="1" si="4"/>
        <v>AL DIA (MENOS 10 DIAS)</v>
      </c>
      <c r="M112" s="10"/>
      <c r="N112" s="11"/>
      <c r="O112" s="10"/>
      <c r="P112" s="11"/>
      <c r="Q112" s="39"/>
      <c r="R112" s="11"/>
      <c r="S112" s="10"/>
      <c r="U112" s="10"/>
      <c r="V112" s="10"/>
      <c r="W112" s="10"/>
      <c r="X112" s="10"/>
      <c r="Y112" s="10"/>
    </row>
    <row r="113" spans="1:25" x14ac:dyDescent="0.25">
      <c r="A113" s="3" t="str">
        <f t="shared" si="5"/>
        <v>ene</v>
      </c>
      <c r="J113" s="30" t="s">
        <v>116</v>
      </c>
      <c r="K113" s="17" t="str">
        <f t="shared" si="3"/>
        <v/>
      </c>
      <c r="L113" s="3" t="str">
        <f t="shared" ca="1" si="4"/>
        <v>CRITICO(MAS 30 DIAS)</v>
      </c>
      <c r="M113" s="10"/>
      <c r="N113" s="11"/>
      <c r="O113" s="10"/>
      <c r="P113" s="11"/>
      <c r="Q113" s="39"/>
      <c r="R113" s="11"/>
      <c r="S113" s="10"/>
      <c r="U113" s="10"/>
      <c r="V113" s="10"/>
      <c r="W113" s="10"/>
      <c r="X113" s="10"/>
      <c r="Y113" s="10"/>
    </row>
    <row r="114" spans="1:25" x14ac:dyDescent="0.25">
      <c r="A114" s="3" t="str">
        <f t="shared" si="5"/>
        <v>ene</v>
      </c>
      <c r="J114" s="30" t="s">
        <v>383</v>
      </c>
      <c r="K114" s="17" t="str">
        <f t="shared" si="3"/>
        <v/>
      </c>
      <c r="L114" s="3" t="str">
        <f t="shared" ca="1" si="4"/>
        <v>CRITICO(MAS 30 DIAS)</v>
      </c>
      <c r="M114" s="10"/>
      <c r="N114" s="11"/>
      <c r="O114" s="10"/>
      <c r="P114" s="11"/>
      <c r="Q114" s="39"/>
      <c r="R114" s="11"/>
      <c r="S114" s="10"/>
      <c r="U114" s="10"/>
      <c r="V114" s="10"/>
      <c r="W114" s="10"/>
      <c r="X114" s="10"/>
      <c r="Y114" s="10"/>
    </row>
    <row r="115" spans="1:25" x14ac:dyDescent="0.25">
      <c r="A115" s="3" t="str">
        <f t="shared" si="5"/>
        <v>ene</v>
      </c>
      <c r="J115" s="30" t="s">
        <v>328</v>
      </c>
      <c r="K115" s="17" t="str">
        <f t="shared" si="3"/>
        <v/>
      </c>
      <c r="L115" s="3" t="str">
        <f t="shared" ca="1" si="4"/>
        <v>CRITICO(MAS 30 DIAS)</v>
      </c>
      <c r="M115" s="10"/>
      <c r="N115" s="11"/>
      <c r="O115" s="10"/>
      <c r="P115" s="11"/>
      <c r="Q115" s="39"/>
      <c r="R115" s="11"/>
      <c r="S115" s="10"/>
      <c r="U115" s="10"/>
      <c r="V115" s="10"/>
      <c r="W115" s="10"/>
      <c r="X115" s="10"/>
      <c r="Y115" s="10"/>
    </row>
    <row r="116" spans="1:25" x14ac:dyDescent="0.25">
      <c r="A116" s="3" t="str">
        <f t="shared" si="5"/>
        <v>ene</v>
      </c>
      <c r="J116" s="30" t="s">
        <v>346</v>
      </c>
      <c r="K116" s="17" t="str">
        <f t="shared" si="3"/>
        <v/>
      </c>
      <c r="L116" s="3" t="str">
        <f t="shared" ca="1" si="4"/>
        <v>CRITICO(MAS 30 DIAS)</v>
      </c>
      <c r="M116" s="10"/>
      <c r="N116" s="11"/>
      <c r="O116" s="10"/>
      <c r="P116" s="11"/>
      <c r="Q116" s="39"/>
      <c r="R116" s="11"/>
      <c r="S116" s="10"/>
      <c r="U116" s="10"/>
      <c r="V116" s="10"/>
      <c r="W116" s="10"/>
      <c r="X116" s="10"/>
      <c r="Y116" s="10"/>
    </row>
    <row r="117" spans="1:25" x14ac:dyDescent="0.25">
      <c r="A117" s="3" t="str">
        <f t="shared" si="5"/>
        <v>ene</v>
      </c>
      <c r="J117" s="30" t="s">
        <v>344</v>
      </c>
      <c r="K117" s="17" t="str">
        <f t="shared" si="3"/>
        <v/>
      </c>
      <c r="L117" s="3" t="str">
        <f t="shared" ca="1" si="4"/>
        <v>CRITICO(MAS 30 DIAS)</v>
      </c>
      <c r="M117" s="10"/>
      <c r="N117" s="11"/>
      <c r="O117" s="10"/>
      <c r="P117" s="11"/>
      <c r="Q117" s="39"/>
      <c r="R117" s="11"/>
      <c r="S117" s="10"/>
      <c r="U117" s="10"/>
      <c r="V117" s="10"/>
      <c r="W117" s="10"/>
      <c r="X117" s="10"/>
      <c r="Y117" s="10"/>
    </row>
    <row r="118" spans="1:25" x14ac:dyDescent="0.25">
      <c r="A118" s="3" t="str">
        <f t="shared" si="5"/>
        <v>ene</v>
      </c>
      <c r="J118" s="30" t="s">
        <v>343</v>
      </c>
      <c r="K118" s="17" t="str">
        <f t="shared" si="3"/>
        <v/>
      </c>
      <c r="L118" s="3" t="str">
        <f t="shared" ca="1" si="4"/>
        <v>CRITICO(MAS 30 DIAS)</v>
      </c>
      <c r="M118" s="10"/>
      <c r="N118" s="11"/>
      <c r="O118" s="10"/>
      <c r="P118" s="11"/>
      <c r="Q118" s="39"/>
      <c r="R118" s="11"/>
      <c r="S118" s="10"/>
      <c r="U118" s="10"/>
      <c r="V118" s="10"/>
      <c r="W118" s="10"/>
      <c r="X118" s="10"/>
      <c r="Y118" s="10"/>
    </row>
    <row r="119" spans="1:25" x14ac:dyDescent="0.25">
      <c r="A119" s="3" t="str">
        <f t="shared" si="5"/>
        <v>ene</v>
      </c>
      <c r="J119" s="30" t="s">
        <v>293</v>
      </c>
      <c r="K119" s="17" t="str">
        <f t="shared" si="3"/>
        <v/>
      </c>
      <c r="L119" s="3" t="str">
        <f t="shared" ca="1" si="4"/>
        <v>CRITICO(MAS 30 DIAS)</v>
      </c>
      <c r="M119" s="10"/>
      <c r="N119" s="11"/>
      <c r="O119" s="10"/>
      <c r="P119" s="11"/>
      <c r="Q119" s="39"/>
      <c r="R119" s="11"/>
      <c r="S119" s="10"/>
      <c r="U119" s="10"/>
      <c r="V119" s="10"/>
      <c r="W119" s="10"/>
      <c r="X119" s="10"/>
      <c r="Y119" s="10"/>
    </row>
    <row r="120" spans="1:25" x14ac:dyDescent="0.25">
      <c r="A120" s="3" t="str">
        <f t="shared" si="5"/>
        <v>ene</v>
      </c>
      <c r="J120" s="30" t="s">
        <v>295</v>
      </c>
      <c r="K120" s="17" t="str">
        <f t="shared" si="3"/>
        <v/>
      </c>
      <c r="L120" s="3" t="str">
        <f t="shared" ca="1" si="4"/>
        <v>CRITICO(MAS 30 DIAS)</v>
      </c>
      <c r="M120" s="10"/>
      <c r="N120" s="11"/>
      <c r="O120" s="10"/>
      <c r="P120" s="11"/>
      <c r="Q120" s="39"/>
      <c r="R120" s="11"/>
      <c r="S120" s="10"/>
      <c r="U120" s="10"/>
      <c r="V120" s="10"/>
      <c r="W120" s="10"/>
      <c r="X120" s="10"/>
      <c r="Y120" s="10"/>
    </row>
    <row r="121" spans="1:25" x14ac:dyDescent="0.25">
      <c r="A121" s="3" t="str">
        <f t="shared" si="5"/>
        <v>ene</v>
      </c>
      <c r="J121" s="30" t="s">
        <v>42</v>
      </c>
      <c r="K121" s="17" t="str">
        <f t="shared" si="3"/>
        <v/>
      </c>
      <c r="L121" s="3" t="str">
        <f t="shared" ca="1" si="4"/>
        <v>CRITICO(MAS 30 DIAS)</v>
      </c>
      <c r="M121" s="10"/>
      <c r="N121" s="11"/>
      <c r="O121" s="10"/>
      <c r="P121" s="11"/>
      <c r="Q121" s="39"/>
      <c r="R121" s="11"/>
      <c r="S121" s="10"/>
      <c r="U121" s="10"/>
      <c r="V121" s="10"/>
      <c r="W121" s="10"/>
      <c r="X121" s="10"/>
      <c r="Y121" s="10"/>
    </row>
    <row r="122" spans="1:25" x14ac:dyDescent="0.25">
      <c r="A122" s="3" t="str">
        <f t="shared" si="5"/>
        <v>ene</v>
      </c>
      <c r="J122" s="30" t="s">
        <v>451</v>
      </c>
      <c r="K122" s="17" t="str">
        <f t="shared" si="3"/>
        <v/>
      </c>
      <c r="L122" s="3" t="str">
        <f t="shared" ca="1" si="4"/>
        <v>CRITICO(MAS 30 DIAS)</v>
      </c>
      <c r="M122" s="10"/>
      <c r="N122" s="11"/>
      <c r="O122" s="10"/>
      <c r="P122" s="11"/>
      <c r="Q122" s="39"/>
      <c r="R122" s="11"/>
      <c r="S122" s="10"/>
      <c r="U122" s="10"/>
      <c r="V122" s="10"/>
      <c r="W122" s="10"/>
      <c r="X122" s="10"/>
      <c r="Y122" s="10"/>
    </row>
    <row r="123" spans="1:25" x14ac:dyDescent="0.25">
      <c r="A123" s="3" t="str">
        <f t="shared" si="5"/>
        <v>ene</v>
      </c>
      <c r="J123" s="30" t="s">
        <v>450</v>
      </c>
      <c r="K123" s="17" t="str">
        <f t="shared" si="3"/>
        <v/>
      </c>
      <c r="L123" s="3" t="str">
        <f t="shared" ca="1" si="4"/>
        <v>CRITICO(MAS 30 DIAS)</v>
      </c>
      <c r="M123" s="10"/>
      <c r="N123" s="11"/>
      <c r="O123" s="10"/>
      <c r="P123" s="11"/>
      <c r="Q123" s="39"/>
      <c r="R123" s="11"/>
      <c r="S123" s="10"/>
      <c r="U123" s="10"/>
      <c r="V123" s="10"/>
      <c r="W123" s="10"/>
      <c r="X123" s="10"/>
      <c r="Y123" s="10"/>
    </row>
    <row r="124" spans="1:25" x14ac:dyDescent="0.25">
      <c r="A124" s="3" t="str">
        <f t="shared" si="5"/>
        <v>ene</v>
      </c>
      <c r="J124" s="30" t="s">
        <v>297</v>
      </c>
      <c r="K124" s="17" t="str">
        <f t="shared" si="3"/>
        <v/>
      </c>
      <c r="L124" s="3" t="str">
        <f t="shared" ca="1" si="4"/>
        <v>CRITICO(MAS 30 DIAS)</v>
      </c>
      <c r="M124" s="10"/>
      <c r="N124" s="11"/>
      <c r="O124" s="10"/>
      <c r="P124" s="11"/>
      <c r="Q124" s="39"/>
      <c r="R124" s="11"/>
      <c r="S124" s="10"/>
      <c r="U124" s="10"/>
      <c r="V124" s="10"/>
      <c r="W124" s="10"/>
      <c r="X124" s="10"/>
      <c r="Y124" s="10"/>
    </row>
    <row r="125" spans="1:25" x14ac:dyDescent="0.25">
      <c r="A125" s="3" t="str">
        <f t="shared" si="5"/>
        <v>ene</v>
      </c>
      <c r="J125" s="30" t="s">
        <v>424</v>
      </c>
      <c r="K125" s="17">
        <f t="shared" si="3"/>
        <v>46302</v>
      </c>
      <c r="L125" s="3" t="str">
        <f t="shared" ca="1" si="4"/>
        <v>AL DIA (MENOS 10 DIAS)</v>
      </c>
      <c r="M125" s="10"/>
      <c r="N125" s="11"/>
      <c r="O125" s="10"/>
      <c r="P125" s="11"/>
      <c r="Q125" s="39"/>
      <c r="R125" s="11"/>
      <c r="S125" s="10"/>
      <c r="U125" s="10"/>
      <c r="V125" s="10"/>
      <c r="W125" s="10"/>
      <c r="X125" s="10"/>
      <c r="Y125" s="10"/>
    </row>
    <row r="126" spans="1:25" x14ac:dyDescent="0.25">
      <c r="A126" s="3" t="str">
        <f t="shared" si="5"/>
        <v>ene</v>
      </c>
      <c r="J126" s="30" t="s">
        <v>253</v>
      </c>
      <c r="K126" s="17">
        <f t="shared" si="3"/>
        <v>46309</v>
      </c>
      <c r="L126" s="3" t="str">
        <f t="shared" ca="1" si="4"/>
        <v>AL DIA (MENOS 10 DIAS)</v>
      </c>
      <c r="M126" s="10"/>
      <c r="N126" s="11"/>
      <c r="O126" s="10"/>
      <c r="P126" s="11"/>
      <c r="Q126" s="39"/>
      <c r="R126" s="11"/>
      <c r="S126" s="10"/>
      <c r="U126" s="10"/>
      <c r="V126" s="10"/>
      <c r="W126" s="10"/>
      <c r="X126" s="10"/>
      <c r="Y126" s="10"/>
    </row>
    <row r="127" spans="1:25" x14ac:dyDescent="0.25">
      <c r="A127" s="3" t="str">
        <f t="shared" si="5"/>
        <v>ene</v>
      </c>
      <c r="J127" s="30" t="s">
        <v>292</v>
      </c>
      <c r="K127" s="17">
        <f t="shared" si="3"/>
        <v>46303</v>
      </c>
      <c r="L127" s="3" t="str">
        <f t="shared" ca="1" si="4"/>
        <v>AL DIA (MENOS 10 DIAS)</v>
      </c>
      <c r="M127" s="10"/>
      <c r="N127" s="11"/>
      <c r="O127" s="10"/>
      <c r="P127" s="11"/>
      <c r="Q127" s="39"/>
      <c r="R127" s="11"/>
      <c r="S127" s="10"/>
      <c r="U127" s="10"/>
      <c r="V127" s="10"/>
      <c r="W127" s="10"/>
      <c r="X127" s="10"/>
      <c r="Y127" s="10"/>
    </row>
    <row r="128" spans="1:25" x14ac:dyDescent="0.25">
      <c r="A128" s="3" t="str">
        <f t="shared" si="5"/>
        <v>ene</v>
      </c>
      <c r="J128" s="30" t="s">
        <v>251</v>
      </c>
      <c r="K128" s="17" t="str">
        <f t="shared" si="3"/>
        <v/>
      </c>
      <c r="L128" s="3" t="str">
        <f t="shared" ca="1" si="4"/>
        <v>CRITICO(MAS 30 DIAS)</v>
      </c>
      <c r="M128" s="10"/>
      <c r="N128" s="11"/>
      <c r="O128" s="10"/>
      <c r="P128" s="11"/>
      <c r="Q128" s="39"/>
      <c r="R128" s="11"/>
      <c r="S128" s="10"/>
      <c r="U128" s="10"/>
      <c r="V128" s="10"/>
      <c r="W128" s="10"/>
      <c r="X128" s="10"/>
      <c r="Y128" s="10"/>
    </row>
    <row r="129" spans="1:25" x14ac:dyDescent="0.25">
      <c r="A129" s="3" t="str">
        <f t="shared" si="5"/>
        <v>ene</v>
      </c>
      <c r="J129" s="30" t="s">
        <v>456</v>
      </c>
      <c r="K129" s="17">
        <f t="shared" si="3"/>
        <v>46300</v>
      </c>
      <c r="L129" s="3" t="str">
        <f t="shared" ca="1" si="4"/>
        <v>AL DIA (MENOS 10 DIAS)</v>
      </c>
      <c r="M129" s="10"/>
      <c r="N129" s="11"/>
      <c r="O129" s="10"/>
      <c r="P129" s="11"/>
      <c r="Q129" s="39"/>
      <c r="R129" s="11"/>
      <c r="S129" s="10"/>
      <c r="U129" s="10"/>
      <c r="V129" s="10"/>
      <c r="W129" s="10"/>
      <c r="X129" s="10"/>
      <c r="Y129" s="10"/>
    </row>
    <row r="130" spans="1:25" x14ac:dyDescent="0.25">
      <c r="A130" s="3" t="str">
        <f t="shared" si="5"/>
        <v>ene</v>
      </c>
      <c r="J130" s="30" t="s">
        <v>254</v>
      </c>
      <c r="K130" s="17">
        <f t="shared" si="3"/>
        <v>46312</v>
      </c>
      <c r="L130" s="3" t="str">
        <f t="shared" ca="1" si="4"/>
        <v>AL DIA (MENOS 10 DIAS)</v>
      </c>
      <c r="M130" s="10"/>
      <c r="O130" s="10"/>
      <c r="P130" s="11"/>
      <c r="Q130" s="39"/>
      <c r="R130" s="11"/>
      <c r="S130" s="10"/>
      <c r="U130" s="10"/>
      <c r="V130" s="10"/>
      <c r="W130" s="10"/>
      <c r="X130" s="10"/>
      <c r="Y130" s="10"/>
    </row>
    <row r="131" spans="1:25" x14ac:dyDescent="0.25">
      <c r="A131" s="3" t="str">
        <f t="shared" si="5"/>
        <v>ene</v>
      </c>
      <c r="J131" s="30" t="s">
        <v>46</v>
      </c>
      <c r="K131" s="17" t="str">
        <f t="shared" ref="K131:K194" si="6">IFERROR(LOOKUP(2,1/($B$3:$B$1001=J131),$D$3:$D$1001),"")</f>
        <v/>
      </c>
      <c r="L131" s="3" t="str">
        <f t="shared" ref="L131:L194" ca="1" si="7">IF(OR(K131="",K131=0),"CRITICO(MAS 30 DIAS)",IF(TODAY()-K131&gt;=30,"CRITICO(MAS 30 DIAS)",IF(TODAY()-K131&gt;=15,"POR REALIZAR(ALERTA)","AL DIA (MENOS 10 DIAS)")))</f>
        <v>CRITICO(MAS 30 DIAS)</v>
      </c>
      <c r="M131" s="10"/>
      <c r="O131" s="10"/>
      <c r="P131" s="11"/>
      <c r="Q131" s="39"/>
      <c r="R131" s="11"/>
      <c r="S131" s="10"/>
      <c r="U131" s="10"/>
      <c r="V131" s="10"/>
      <c r="W131" s="10"/>
      <c r="X131" s="10"/>
      <c r="Y131" s="10"/>
    </row>
    <row r="132" spans="1:25" x14ac:dyDescent="0.25">
      <c r="A132" s="3" t="str">
        <f t="shared" si="5"/>
        <v>ene</v>
      </c>
      <c r="B132" s="39"/>
      <c r="C132" s="7"/>
      <c r="J132" s="30" t="s">
        <v>288</v>
      </c>
      <c r="K132" s="17" t="str">
        <f t="shared" si="6"/>
        <v/>
      </c>
      <c r="L132" s="3" t="str">
        <f t="shared" ca="1" si="7"/>
        <v>CRITICO(MAS 30 DIAS)</v>
      </c>
      <c r="M132" s="10"/>
      <c r="O132" s="10"/>
      <c r="P132" s="11"/>
      <c r="Q132" s="39"/>
      <c r="R132" s="11"/>
      <c r="S132" s="10"/>
      <c r="U132" s="10"/>
      <c r="V132" s="10"/>
      <c r="W132" s="10"/>
      <c r="X132" s="10"/>
      <c r="Y132" s="10"/>
    </row>
    <row r="133" spans="1:25" x14ac:dyDescent="0.25">
      <c r="A133" s="3" t="str">
        <f t="shared" si="5"/>
        <v>ene</v>
      </c>
      <c r="J133" s="30" t="s">
        <v>427</v>
      </c>
      <c r="K133" s="17" t="str">
        <f t="shared" si="6"/>
        <v/>
      </c>
      <c r="L133" s="3" t="str">
        <f t="shared" ca="1" si="7"/>
        <v>CRITICO(MAS 30 DIAS)</v>
      </c>
      <c r="M133" s="10"/>
      <c r="O133" s="10"/>
      <c r="P133" s="11"/>
      <c r="Q133" s="39"/>
      <c r="R133" s="11"/>
      <c r="S133" s="10"/>
      <c r="U133" s="10"/>
      <c r="V133" s="10"/>
      <c r="W133" s="10"/>
      <c r="X133" s="10"/>
      <c r="Y133" s="10"/>
    </row>
    <row r="134" spans="1:25" x14ac:dyDescent="0.25">
      <c r="A134" s="3" t="str">
        <f t="shared" ref="A134:A197" si="8">TEXT($D134,"mmm")</f>
        <v>ene</v>
      </c>
      <c r="J134" s="30" t="s">
        <v>457</v>
      </c>
      <c r="K134" s="17" t="str">
        <f t="shared" si="6"/>
        <v/>
      </c>
      <c r="L134" s="3" t="str">
        <f t="shared" ca="1" si="7"/>
        <v>CRITICO(MAS 30 DIAS)</v>
      </c>
      <c r="M134" s="10"/>
      <c r="O134" s="10"/>
      <c r="P134" s="11"/>
      <c r="Q134" s="39"/>
      <c r="R134" s="11"/>
      <c r="S134" s="10"/>
      <c r="U134" s="10"/>
      <c r="V134" s="10"/>
      <c r="W134" s="10"/>
      <c r="X134" s="10"/>
      <c r="Y134" s="10"/>
    </row>
    <row r="135" spans="1:25" x14ac:dyDescent="0.25">
      <c r="A135" s="3" t="str">
        <f t="shared" si="8"/>
        <v>ene</v>
      </c>
      <c r="J135" s="30" t="s">
        <v>240</v>
      </c>
      <c r="K135" s="17" t="str">
        <f t="shared" si="6"/>
        <v/>
      </c>
      <c r="L135" s="3" t="str">
        <f t="shared" ca="1" si="7"/>
        <v>CRITICO(MAS 30 DIAS)</v>
      </c>
      <c r="M135" s="10"/>
      <c r="O135" s="10"/>
      <c r="P135" s="11"/>
      <c r="Q135" s="39"/>
      <c r="R135" s="11"/>
      <c r="S135" s="10"/>
      <c r="U135" s="10"/>
      <c r="V135" s="10"/>
      <c r="W135" s="10"/>
      <c r="X135" s="10"/>
      <c r="Y135" s="10"/>
    </row>
    <row r="136" spans="1:25" x14ac:dyDescent="0.25">
      <c r="A136" s="3" t="str">
        <f t="shared" si="8"/>
        <v>ene</v>
      </c>
      <c r="J136" s="30" t="s">
        <v>123</v>
      </c>
      <c r="K136" s="17" t="str">
        <f t="shared" si="6"/>
        <v/>
      </c>
      <c r="L136" s="3" t="str">
        <f t="shared" ca="1" si="7"/>
        <v>CRITICO(MAS 30 DIAS)</v>
      </c>
    </row>
    <row r="137" spans="1:25" x14ac:dyDescent="0.25">
      <c r="A137" s="3" t="str">
        <f t="shared" si="8"/>
        <v>ene</v>
      </c>
      <c r="J137" s="30" t="s">
        <v>423</v>
      </c>
      <c r="K137" s="17">
        <f t="shared" si="6"/>
        <v>46303</v>
      </c>
      <c r="L137" s="3" t="str">
        <f t="shared" ca="1" si="7"/>
        <v>AL DIA (MENOS 10 DIAS)</v>
      </c>
    </row>
    <row r="138" spans="1:25" x14ac:dyDescent="0.25">
      <c r="A138" s="3" t="str">
        <f t="shared" si="8"/>
        <v>ene</v>
      </c>
      <c r="J138" s="30" t="s">
        <v>8</v>
      </c>
      <c r="K138" s="17" t="str">
        <f t="shared" si="6"/>
        <v/>
      </c>
      <c r="L138" s="3" t="str">
        <f t="shared" ca="1" si="7"/>
        <v>CRITICO(MAS 30 DIAS)</v>
      </c>
    </row>
    <row r="139" spans="1:25" x14ac:dyDescent="0.25">
      <c r="A139" s="3" t="str">
        <f t="shared" si="8"/>
        <v>ene</v>
      </c>
      <c r="J139" s="30" t="s">
        <v>302</v>
      </c>
      <c r="K139" s="17">
        <f t="shared" si="6"/>
        <v>46310</v>
      </c>
      <c r="L139" s="3" t="str">
        <f t="shared" ca="1" si="7"/>
        <v>AL DIA (MENOS 10 DIAS)</v>
      </c>
    </row>
    <row r="140" spans="1:25" x14ac:dyDescent="0.25">
      <c r="A140" s="3" t="str">
        <f t="shared" si="8"/>
        <v>ene</v>
      </c>
      <c r="J140" s="30" t="s">
        <v>124</v>
      </c>
      <c r="K140" s="17" t="str">
        <f t="shared" si="6"/>
        <v/>
      </c>
      <c r="L140" s="3" t="str">
        <f t="shared" ca="1" si="7"/>
        <v>CRITICO(MAS 30 DIAS)</v>
      </c>
    </row>
    <row r="141" spans="1:25" x14ac:dyDescent="0.25">
      <c r="A141" s="3" t="str">
        <f t="shared" si="8"/>
        <v>ene</v>
      </c>
      <c r="J141" s="30" t="s">
        <v>350</v>
      </c>
      <c r="K141" s="17" t="str">
        <f t="shared" si="6"/>
        <v/>
      </c>
      <c r="L141" s="3" t="str">
        <f t="shared" ca="1" si="7"/>
        <v>CRITICO(MAS 30 DIAS)</v>
      </c>
    </row>
    <row r="142" spans="1:25" x14ac:dyDescent="0.25">
      <c r="A142" s="3" t="str">
        <f t="shared" si="8"/>
        <v>ene</v>
      </c>
      <c r="J142" s="30" t="s">
        <v>448</v>
      </c>
      <c r="K142" s="17" t="str">
        <f t="shared" si="6"/>
        <v/>
      </c>
      <c r="L142" s="3" t="str">
        <f t="shared" ca="1" si="7"/>
        <v>CRITICO(MAS 30 DIAS)</v>
      </c>
    </row>
    <row r="143" spans="1:25" x14ac:dyDescent="0.25">
      <c r="A143" s="3" t="str">
        <f t="shared" si="8"/>
        <v>ene</v>
      </c>
      <c r="J143" s="30" t="s">
        <v>125</v>
      </c>
      <c r="K143" s="17" t="str">
        <f t="shared" si="6"/>
        <v/>
      </c>
      <c r="L143" s="3" t="str">
        <f t="shared" ca="1" si="7"/>
        <v>CRITICO(MAS 30 DIAS)</v>
      </c>
    </row>
    <row r="144" spans="1:25" x14ac:dyDescent="0.25">
      <c r="A144" s="3" t="str">
        <f t="shared" si="8"/>
        <v>ene</v>
      </c>
      <c r="J144" s="30" t="s">
        <v>434</v>
      </c>
      <c r="K144" s="17" t="str">
        <f t="shared" si="6"/>
        <v/>
      </c>
      <c r="L144" s="3" t="str">
        <f t="shared" ca="1" si="7"/>
        <v>CRITICO(MAS 30 DIAS)</v>
      </c>
    </row>
    <row r="145" spans="1:12" x14ac:dyDescent="0.25">
      <c r="A145" s="3" t="str">
        <f t="shared" si="8"/>
        <v>ene</v>
      </c>
      <c r="J145" s="30" t="s">
        <v>348</v>
      </c>
      <c r="K145" s="17" t="str">
        <f t="shared" si="6"/>
        <v/>
      </c>
      <c r="L145" s="3" t="str">
        <f t="shared" ca="1" si="7"/>
        <v>CRITICO(MAS 30 DIAS)</v>
      </c>
    </row>
    <row r="146" spans="1:12" x14ac:dyDescent="0.25">
      <c r="A146" s="3" t="str">
        <f t="shared" si="8"/>
        <v>ene</v>
      </c>
      <c r="J146" s="30" t="s">
        <v>250</v>
      </c>
      <c r="K146" s="17" t="str">
        <f t="shared" si="6"/>
        <v/>
      </c>
      <c r="L146" s="3" t="str">
        <f t="shared" ca="1" si="7"/>
        <v>CRITICO(MAS 30 DIAS)</v>
      </c>
    </row>
    <row r="147" spans="1:12" x14ac:dyDescent="0.25">
      <c r="A147" s="3" t="str">
        <f t="shared" si="8"/>
        <v>ene</v>
      </c>
      <c r="J147" s="30" t="s">
        <v>126</v>
      </c>
      <c r="K147" s="17">
        <f t="shared" si="6"/>
        <v>46304</v>
      </c>
      <c r="L147" s="3" t="str">
        <f t="shared" ca="1" si="7"/>
        <v>AL DIA (MENOS 10 DIAS)</v>
      </c>
    </row>
    <row r="148" spans="1:12" x14ac:dyDescent="0.25">
      <c r="A148" s="3" t="str">
        <f t="shared" si="8"/>
        <v>ene</v>
      </c>
      <c r="J148" s="30" t="s">
        <v>397</v>
      </c>
      <c r="K148" s="17" t="str">
        <f t="shared" si="6"/>
        <v/>
      </c>
      <c r="L148" s="3" t="str">
        <f t="shared" ca="1" si="7"/>
        <v>CRITICO(MAS 30 DIAS)</v>
      </c>
    </row>
    <row r="149" spans="1:12" x14ac:dyDescent="0.25">
      <c r="A149" s="3" t="str">
        <f t="shared" si="8"/>
        <v>ene</v>
      </c>
      <c r="J149" s="30" t="s">
        <v>127</v>
      </c>
      <c r="K149" s="17" t="str">
        <f t="shared" si="6"/>
        <v/>
      </c>
      <c r="L149" s="3" t="str">
        <f t="shared" ca="1" si="7"/>
        <v>CRITICO(MAS 30 DIAS)</v>
      </c>
    </row>
    <row r="150" spans="1:12" x14ac:dyDescent="0.25">
      <c r="A150" s="3" t="str">
        <f t="shared" si="8"/>
        <v>ene</v>
      </c>
      <c r="J150" s="30" t="s">
        <v>300</v>
      </c>
      <c r="K150" s="17" t="str">
        <f t="shared" si="6"/>
        <v/>
      </c>
      <c r="L150" s="3" t="str">
        <f t="shared" ca="1" si="7"/>
        <v>CRITICO(MAS 30 DIAS)</v>
      </c>
    </row>
    <row r="151" spans="1:12" x14ac:dyDescent="0.25">
      <c r="A151" s="3" t="str">
        <f t="shared" si="8"/>
        <v>ene</v>
      </c>
      <c r="J151" s="30" t="s">
        <v>202</v>
      </c>
      <c r="K151" s="17" t="str">
        <f t="shared" si="6"/>
        <v/>
      </c>
      <c r="L151" s="3" t="str">
        <f t="shared" ca="1" si="7"/>
        <v>CRITICO(MAS 30 DIAS)</v>
      </c>
    </row>
    <row r="152" spans="1:12" x14ac:dyDescent="0.25">
      <c r="A152" s="3" t="str">
        <f t="shared" si="8"/>
        <v>ene</v>
      </c>
      <c r="J152" s="30" t="s">
        <v>382</v>
      </c>
      <c r="K152" s="17" t="str">
        <f t="shared" si="6"/>
        <v/>
      </c>
      <c r="L152" s="3" t="str">
        <f t="shared" ca="1" si="7"/>
        <v>CRITICO(MAS 30 DIAS)</v>
      </c>
    </row>
    <row r="153" spans="1:12" x14ac:dyDescent="0.25">
      <c r="A153" s="3" t="str">
        <f t="shared" si="8"/>
        <v>ene</v>
      </c>
      <c r="J153" s="30" t="s">
        <v>263</v>
      </c>
      <c r="K153" s="17" t="str">
        <f t="shared" si="6"/>
        <v/>
      </c>
      <c r="L153" s="3" t="str">
        <f t="shared" ca="1" si="7"/>
        <v>CRITICO(MAS 30 DIAS)</v>
      </c>
    </row>
    <row r="154" spans="1:12" x14ac:dyDescent="0.25">
      <c r="A154" s="3" t="str">
        <f t="shared" si="8"/>
        <v>ene</v>
      </c>
      <c r="J154" s="30" t="s">
        <v>449</v>
      </c>
      <c r="K154" s="17">
        <f t="shared" si="6"/>
        <v>46297</v>
      </c>
      <c r="L154" s="3" t="str">
        <f t="shared" ca="1" si="7"/>
        <v>POR REALIZAR(ALERTA)</v>
      </c>
    </row>
    <row r="155" spans="1:12" x14ac:dyDescent="0.25">
      <c r="A155" s="3" t="str">
        <f t="shared" si="8"/>
        <v>ene</v>
      </c>
      <c r="C155" s="7"/>
      <c r="J155" s="30" t="s">
        <v>416</v>
      </c>
      <c r="K155" s="17" t="str">
        <f t="shared" si="6"/>
        <v/>
      </c>
      <c r="L155" s="3" t="str">
        <f t="shared" ca="1" si="7"/>
        <v>CRITICO(MAS 30 DIAS)</v>
      </c>
    </row>
    <row r="156" spans="1:12" x14ac:dyDescent="0.25">
      <c r="A156" s="3" t="str">
        <f t="shared" si="8"/>
        <v>ene</v>
      </c>
      <c r="J156" s="30" t="s">
        <v>363</v>
      </c>
      <c r="K156" s="17" t="str">
        <f t="shared" si="6"/>
        <v/>
      </c>
      <c r="L156" s="3" t="str">
        <f t="shared" ca="1" si="7"/>
        <v>CRITICO(MAS 30 DIAS)</v>
      </c>
    </row>
    <row r="157" spans="1:12" x14ac:dyDescent="0.25">
      <c r="A157" s="3" t="str">
        <f t="shared" si="8"/>
        <v>ene</v>
      </c>
      <c r="J157" s="30" t="s">
        <v>384</v>
      </c>
      <c r="K157" s="17">
        <f t="shared" si="6"/>
        <v>46310</v>
      </c>
      <c r="L157" s="3" t="str">
        <f t="shared" ca="1" si="7"/>
        <v>AL DIA (MENOS 10 DIAS)</v>
      </c>
    </row>
    <row r="158" spans="1:12" x14ac:dyDescent="0.25">
      <c r="A158" s="3" t="str">
        <f t="shared" si="8"/>
        <v>ene</v>
      </c>
      <c r="J158" s="30" t="s">
        <v>421</v>
      </c>
      <c r="K158" s="17" t="str">
        <f t="shared" si="6"/>
        <v/>
      </c>
      <c r="L158" s="3" t="str">
        <f t="shared" ca="1" si="7"/>
        <v>CRITICO(MAS 30 DIAS)</v>
      </c>
    </row>
    <row r="159" spans="1:12" x14ac:dyDescent="0.25">
      <c r="A159" s="3" t="str">
        <f t="shared" si="8"/>
        <v>ene</v>
      </c>
      <c r="J159" s="30" t="s">
        <v>347</v>
      </c>
      <c r="K159" s="17" t="str">
        <f t="shared" si="6"/>
        <v/>
      </c>
      <c r="L159" s="3" t="str">
        <f t="shared" ca="1" si="7"/>
        <v>CRITICO(MAS 30 DIAS)</v>
      </c>
    </row>
    <row r="160" spans="1:12" x14ac:dyDescent="0.25">
      <c r="A160" s="3" t="str">
        <f t="shared" si="8"/>
        <v>ene</v>
      </c>
      <c r="J160" s="30" t="s">
        <v>203</v>
      </c>
      <c r="K160" s="17">
        <f t="shared" si="6"/>
        <v>46302</v>
      </c>
      <c r="L160" s="3" t="str">
        <f t="shared" ca="1" si="7"/>
        <v>AL DIA (MENOS 10 DIAS)</v>
      </c>
    </row>
    <row r="161" spans="1:12" x14ac:dyDescent="0.25">
      <c r="A161" s="3" t="str">
        <f t="shared" si="8"/>
        <v>ene</v>
      </c>
      <c r="J161" s="30" t="s">
        <v>394</v>
      </c>
      <c r="K161" s="17" t="str">
        <f t="shared" si="6"/>
        <v/>
      </c>
      <c r="L161" s="3" t="str">
        <f t="shared" ca="1" si="7"/>
        <v>CRITICO(MAS 30 DIAS)</v>
      </c>
    </row>
    <row r="162" spans="1:12" x14ac:dyDescent="0.25">
      <c r="A162" s="3" t="str">
        <f t="shared" si="8"/>
        <v>ene</v>
      </c>
      <c r="J162" s="30" t="s">
        <v>49</v>
      </c>
      <c r="K162" s="17" t="str">
        <f t="shared" si="6"/>
        <v/>
      </c>
      <c r="L162" s="3" t="str">
        <f t="shared" ca="1" si="7"/>
        <v>CRITICO(MAS 30 DIAS)</v>
      </c>
    </row>
    <row r="163" spans="1:12" x14ac:dyDescent="0.25">
      <c r="A163" s="3" t="str">
        <f t="shared" si="8"/>
        <v>ene</v>
      </c>
      <c r="J163" s="30" t="s">
        <v>49</v>
      </c>
      <c r="K163" s="17" t="str">
        <f t="shared" si="6"/>
        <v/>
      </c>
      <c r="L163" s="3" t="str">
        <f t="shared" ca="1" si="7"/>
        <v>CRITICO(MAS 30 DIAS)</v>
      </c>
    </row>
    <row r="164" spans="1:12" x14ac:dyDescent="0.25">
      <c r="A164" s="3" t="str">
        <f t="shared" si="8"/>
        <v>ene</v>
      </c>
      <c r="J164" s="30" t="s">
        <v>133</v>
      </c>
      <c r="K164" s="17" t="str">
        <f t="shared" si="6"/>
        <v/>
      </c>
      <c r="L164" s="3" t="str">
        <f t="shared" ca="1" si="7"/>
        <v>CRITICO(MAS 30 DIAS)</v>
      </c>
    </row>
    <row r="165" spans="1:12" x14ac:dyDescent="0.25">
      <c r="A165" s="3" t="str">
        <f t="shared" si="8"/>
        <v>ene</v>
      </c>
      <c r="J165" s="30" t="s">
        <v>204</v>
      </c>
      <c r="K165" s="17" t="str">
        <f t="shared" si="6"/>
        <v/>
      </c>
      <c r="L165" s="3" t="str">
        <f t="shared" ca="1" si="7"/>
        <v>CRITICO(MAS 30 DIAS)</v>
      </c>
    </row>
    <row r="166" spans="1:12" x14ac:dyDescent="0.25">
      <c r="A166" s="3" t="str">
        <f t="shared" si="8"/>
        <v>ene</v>
      </c>
      <c r="J166" s="30" t="s">
        <v>50</v>
      </c>
      <c r="K166" s="17" t="str">
        <f t="shared" si="6"/>
        <v/>
      </c>
      <c r="L166" s="3" t="str">
        <f t="shared" ca="1" si="7"/>
        <v>CRITICO(MAS 30 DIAS)</v>
      </c>
    </row>
    <row r="167" spans="1:12" x14ac:dyDescent="0.25">
      <c r="A167" s="3" t="str">
        <f t="shared" si="8"/>
        <v>ene</v>
      </c>
      <c r="J167" s="30" t="s">
        <v>51</v>
      </c>
      <c r="K167" s="17" t="str">
        <f t="shared" si="6"/>
        <v/>
      </c>
      <c r="L167" s="3" t="str">
        <f t="shared" ca="1" si="7"/>
        <v>CRITICO(MAS 30 DIAS)</v>
      </c>
    </row>
    <row r="168" spans="1:12" x14ac:dyDescent="0.25">
      <c r="A168" s="3" t="str">
        <f t="shared" si="8"/>
        <v>ene</v>
      </c>
      <c r="J168" s="30" t="s">
        <v>454</v>
      </c>
      <c r="K168" s="17" t="str">
        <f t="shared" si="6"/>
        <v/>
      </c>
      <c r="L168" s="3" t="str">
        <f t="shared" ca="1" si="7"/>
        <v>CRITICO(MAS 30 DIAS)</v>
      </c>
    </row>
    <row r="169" spans="1:12" x14ac:dyDescent="0.25">
      <c r="A169" s="3" t="str">
        <f t="shared" si="8"/>
        <v>ene</v>
      </c>
      <c r="J169" s="30" t="s">
        <v>453</v>
      </c>
      <c r="K169" s="17" t="str">
        <f t="shared" si="6"/>
        <v/>
      </c>
      <c r="L169" s="3" t="str">
        <f t="shared" ca="1" si="7"/>
        <v>CRITICO(MAS 30 DIAS)</v>
      </c>
    </row>
    <row r="170" spans="1:12" x14ac:dyDescent="0.25">
      <c r="A170" s="3" t="str">
        <f t="shared" si="8"/>
        <v>ene</v>
      </c>
      <c r="J170" s="30" t="s">
        <v>396</v>
      </c>
      <c r="K170" s="17" t="str">
        <f t="shared" si="6"/>
        <v/>
      </c>
      <c r="L170" s="3" t="str">
        <f t="shared" ca="1" si="7"/>
        <v>CRITICO(MAS 30 DIAS)</v>
      </c>
    </row>
    <row r="171" spans="1:12" x14ac:dyDescent="0.25">
      <c r="A171" s="3" t="str">
        <f t="shared" si="8"/>
        <v>ene</v>
      </c>
      <c r="J171" s="31" t="s">
        <v>426</v>
      </c>
      <c r="K171" s="17" t="str">
        <f t="shared" si="6"/>
        <v/>
      </c>
      <c r="L171" s="3" t="str">
        <f t="shared" ca="1" si="7"/>
        <v>CRITICO(MAS 30 DIAS)</v>
      </c>
    </row>
    <row r="172" spans="1:12" x14ac:dyDescent="0.25">
      <c r="A172" s="3" t="str">
        <f t="shared" si="8"/>
        <v>ene</v>
      </c>
      <c r="J172" s="30" t="s">
        <v>441</v>
      </c>
      <c r="K172" s="17" t="str">
        <f t="shared" si="6"/>
        <v/>
      </c>
      <c r="L172" s="3" t="str">
        <f t="shared" ca="1" si="7"/>
        <v>CRITICO(MAS 30 DIAS)</v>
      </c>
    </row>
    <row r="173" spans="1:12" x14ac:dyDescent="0.25">
      <c r="A173" s="3" t="str">
        <f t="shared" si="8"/>
        <v>ene</v>
      </c>
      <c r="J173" s="30" t="s">
        <v>440</v>
      </c>
      <c r="K173" s="17" t="str">
        <f t="shared" si="6"/>
        <v/>
      </c>
      <c r="L173" s="3" t="str">
        <f t="shared" ca="1" si="7"/>
        <v>CRITICO(MAS 30 DIAS)</v>
      </c>
    </row>
    <row r="174" spans="1:12" x14ac:dyDescent="0.25">
      <c r="A174" s="3" t="str">
        <f t="shared" si="8"/>
        <v>ene</v>
      </c>
      <c r="J174" s="30" t="s">
        <v>379</v>
      </c>
      <c r="K174" s="17" t="str">
        <f t="shared" si="6"/>
        <v/>
      </c>
      <c r="L174" s="3" t="str">
        <f t="shared" ca="1" si="7"/>
        <v>CRITICO(MAS 30 DIAS)</v>
      </c>
    </row>
    <row r="175" spans="1:12" x14ac:dyDescent="0.25">
      <c r="A175" s="3" t="str">
        <f t="shared" si="8"/>
        <v>ene</v>
      </c>
      <c r="J175" s="30" t="s">
        <v>357</v>
      </c>
      <c r="K175" s="17">
        <f t="shared" si="6"/>
        <v>46303</v>
      </c>
      <c r="L175" s="3" t="str">
        <f t="shared" ca="1" si="7"/>
        <v>AL DIA (MENOS 10 DIAS)</v>
      </c>
    </row>
    <row r="176" spans="1:12" x14ac:dyDescent="0.25">
      <c r="A176" s="3" t="str">
        <f t="shared" si="8"/>
        <v>ene</v>
      </c>
      <c r="C176" s="7"/>
      <c r="J176" s="30" t="s">
        <v>282</v>
      </c>
      <c r="K176" s="17" t="str">
        <f t="shared" si="6"/>
        <v/>
      </c>
      <c r="L176" s="3" t="str">
        <f t="shared" ca="1" si="7"/>
        <v>CRITICO(MAS 30 DIAS)</v>
      </c>
    </row>
    <row r="177" spans="1:12" x14ac:dyDescent="0.25">
      <c r="A177" s="3" t="str">
        <f t="shared" si="8"/>
        <v>ene</v>
      </c>
      <c r="C177" s="7"/>
      <c r="J177" s="30" t="s">
        <v>419</v>
      </c>
      <c r="K177" s="17" t="str">
        <f t="shared" si="6"/>
        <v/>
      </c>
      <c r="L177" s="3" t="str">
        <f t="shared" ca="1" si="7"/>
        <v>CRITICO(MAS 30 DIAS)</v>
      </c>
    </row>
    <row r="178" spans="1:12" x14ac:dyDescent="0.25">
      <c r="A178" s="3" t="str">
        <f t="shared" si="8"/>
        <v>ene</v>
      </c>
      <c r="C178" s="7"/>
      <c r="J178" s="30" t="s">
        <v>323</v>
      </c>
      <c r="K178" s="17">
        <f t="shared" si="6"/>
        <v>46305</v>
      </c>
      <c r="L178" s="3" t="str">
        <f t="shared" ca="1" si="7"/>
        <v>AL DIA (MENOS 10 DIAS)</v>
      </c>
    </row>
    <row r="179" spans="1:12" x14ac:dyDescent="0.25">
      <c r="A179" s="3" t="str">
        <f t="shared" si="8"/>
        <v>ene</v>
      </c>
      <c r="J179" s="30" t="s">
        <v>141</v>
      </c>
      <c r="K179" s="17">
        <f t="shared" si="6"/>
        <v>46298</v>
      </c>
      <c r="L179" s="3" t="str">
        <f t="shared" ca="1" si="7"/>
        <v>POR REALIZAR(ALERTA)</v>
      </c>
    </row>
    <row r="180" spans="1:12" x14ac:dyDescent="0.25">
      <c r="A180" s="3" t="str">
        <f t="shared" si="8"/>
        <v>ene</v>
      </c>
      <c r="J180" s="30" t="s">
        <v>142</v>
      </c>
      <c r="K180" s="17" t="str">
        <f t="shared" si="6"/>
        <v/>
      </c>
      <c r="L180" s="3" t="str">
        <f t="shared" ca="1" si="7"/>
        <v>CRITICO(MAS 30 DIAS)</v>
      </c>
    </row>
    <row r="181" spans="1:12" x14ac:dyDescent="0.25">
      <c r="A181" s="3" t="str">
        <f t="shared" si="8"/>
        <v>ene</v>
      </c>
      <c r="J181" s="30" t="s">
        <v>304</v>
      </c>
      <c r="K181" s="17" t="str">
        <f t="shared" si="6"/>
        <v/>
      </c>
      <c r="L181" s="3" t="str">
        <f t="shared" ca="1" si="7"/>
        <v>CRITICO(MAS 30 DIAS)</v>
      </c>
    </row>
    <row r="182" spans="1:12" x14ac:dyDescent="0.25">
      <c r="A182" s="3" t="str">
        <f t="shared" si="8"/>
        <v>ene</v>
      </c>
      <c r="J182" s="30" t="s">
        <v>144</v>
      </c>
      <c r="K182" s="17" t="str">
        <f t="shared" si="6"/>
        <v/>
      </c>
      <c r="L182" s="3" t="str">
        <f t="shared" ca="1" si="7"/>
        <v>CRITICO(MAS 30 DIAS)</v>
      </c>
    </row>
    <row r="183" spans="1:12" x14ac:dyDescent="0.25">
      <c r="A183" s="3" t="str">
        <f t="shared" si="8"/>
        <v>ene</v>
      </c>
      <c r="J183" s="30" t="s">
        <v>411</v>
      </c>
      <c r="K183" s="17" t="str">
        <f t="shared" si="6"/>
        <v/>
      </c>
      <c r="L183" s="3" t="str">
        <f t="shared" ca="1" si="7"/>
        <v>CRITICO(MAS 30 DIAS)</v>
      </c>
    </row>
    <row r="184" spans="1:12" x14ac:dyDescent="0.25">
      <c r="A184" s="3" t="str">
        <f t="shared" si="8"/>
        <v>ene</v>
      </c>
      <c r="J184" s="30" t="s">
        <v>410</v>
      </c>
      <c r="K184" s="17" t="str">
        <f t="shared" si="6"/>
        <v/>
      </c>
      <c r="L184" s="3" t="str">
        <f t="shared" ca="1" si="7"/>
        <v>CRITICO(MAS 30 DIAS)</v>
      </c>
    </row>
    <row r="185" spans="1:12" x14ac:dyDescent="0.25">
      <c r="A185" s="3" t="str">
        <f t="shared" si="8"/>
        <v>ene</v>
      </c>
      <c r="J185" s="30" t="s">
        <v>414</v>
      </c>
      <c r="K185" s="17" t="str">
        <f t="shared" si="6"/>
        <v/>
      </c>
      <c r="L185" s="3" t="str">
        <f t="shared" ca="1" si="7"/>
        <v>CRITICO(MAS 30 DIAS)</v>
      </c>
    </row>
    <row r="186" spans="1:12" x14ac:dyDescent="0.25">
      <c r="A186" s="3" t="str">
        <f t="shared" si="8"/>
        <v>ene</v>
      </c>
      <c r="J186" s="30" t="s">
        <v>365</v>
      </c>
      <c r="K186" s="17" t="str">
        <f t="shared" si="6"/>
        <v/>
      </c>
      <c r="L186" s="3" t="str">
        <f t="shared" ca="1" si="7"/>
        <v>CRITICO(MAS 30 DIAS)</v>
      </c>
    </row>
    <row r="187" spans="1:12" x14ac:dyDescent="0.25">
      <c r="A187" s="3" t="str">
        <f t="shared" si="8"/>
        <v>ene</v>
      </c>
      <c r="J187" s="30" t="s">
        <v>389</v>
      </c>
      <c r="K187" s="17" t="str">
        <f t="shared" si="6"/>
        <v/>
      </c>
      <c r="L187" s="3" t="str">
        <f t="shared" ca="1" si="7"/>
        <v>CRITICO(MAS 30 DIAS)</v>
      </c>
    </row>
    <row r="188" spans="1:12" x14ac:dyDescent="0.25">
      <c r="A188" s="3" t="str">
        <f t="shared" si="8"/>
        <v>ene</v>
      </c>
      <c r="J188" s="30" t="s">
        <v>337</v>
      </c>
      <c r="K188" s="17" t="str">
        <f t="shared" si="6"/>
        <v/>
      </c>
      <c r="L188" s="3" t="str">
        <f t="shared" ca="1" si="7"/>
        <v>CRITICO(MAS 30 DIAS)</v>
      </c>
    </row>
    <row r="189" spans="1:12" x14ac:dyDescent="0.25">
      <c r="A189" s="3" t="str">
        <f t="shared" si="8"/>
        <v>ene</v>
      </c>
      <c r="J189" s="30" t="s">
        <v>337</v>
      </c>
      <c r="K189" s="17" t="str">
        <f t="shared" si="6"/>
        <v/>
      </c>
      <c r="L189" s="3" t="str">
        <f t="shared" ca="1" si="7"/>
        <v>CRITICO(MAS 30 DIAS)</v>
      </c>
    </row>
    <row r="190" spans="1:12" x14ac:dyDescent="0.25">
      <c r="A190" s="3" t="str">
        <f t="shared" si="8"/>
        <v>ene</v>
      </c>
      <c r="J190" s="30" t="s">
        <v>400</v>
      </c>
      <c r="K190" s="17" t="str">
        <f t="shared" si="6"/>
        <v/>
      </c>
      <c r="L190" s="3" t="str">
        <f t="shared" ca="1" si="7"/>
        <v>CRITICO(MAS 30 DIAS)</v>
      </c>
    </row>
    <row r="191" spans="1:12" x14ac:dyDescent="0.25">
      <c r="A191" s="3" t="str">
        <f t="shared" si="8"/>
        <v>ene</v>
      </c>
      <c r="J191" s="30" t="s">
        <v>369</v>
      </c>
      <c r="K191" s="17" t="str">
        <f t="shared" si="6"/>
        <v/>
      </c>
      <c r="L191" s="3" t="str">
        <f t="shared" ca="1" si="7"/>
        <v>CRITICO(MAS 30 DIAS)</v>
      </c>
    </row>
    <row r="192" spans="1:12" x14ac:dyDescent="0.25">
      <c r="A192" s="3" t="str">
        <f t="shared" si="8"/>
        <v>ene</v>
      </c>
      <c r="J192" s="30" t="s">
        <v>399</v>
      </c>
      <c r="K192" s="17" t="str">
        <f t="shared" si="6"/>
        <v/>
      </c>
      <c r="L192" s="3" t="str">
        <f t="shared" ca="1" si="7"/>
        <v>CRITICO(MAS 30 DIAS)</v>
      </c>
    </row>
    <row r="193" spans="1:12" x14ac:dyDescent="0.25">
      <c r="A193" s="3" t="str">
        <f t="shared" si="8"/>
        <v>ene</v>
      </c>
      <c r="J193" s="30" t="s">
        <v>146</v>
      </c>
      <c r="K193" s="17" t="str">
        <f t="shared" si="6"/>
        <v/>
      </c>
      <c r="L193" s="3" t="str">
        <f t="shared" ca="1" si="7"/>
        <v>CRITICO(MAS 30 DIAS)</v>
      </c>
    </row>
    <row r="194" spans="1:12" x14ac:dyDescent="0.25">
      <c r="A194" s="3" t="str">
        <f t="shared" si="8"/>
        <v>ene</v>
      </c>
      <c r="J194" s="30" t="s">
        <v>149</v>
      </c>
      <c r="K194" s="17" t="str">
        <f t="shared" si="6"/>
        <v/>
      </c>
      <c r="L194" s="3" t="str">
        <f t="shared" ca="1" si="7"/>
        <v>CRITICO(MAS 30 DIAS)</v>
      </c>
    </row>
    <row r="195" spans="1:12" x14ac:dyDescent="0.25">
      <c r="A195" s="3" t="str">
        <f t="shared" si="8"/>
        <v>ene</v>
      </c>
      <c r="J195" s="30" t="s">
        <v>149</v>
      </c>
      <c r="K195" s="17" t="str">
        <f t="shared" ref="K195:K254" si="9">IFERROR(LOOKUP(2,1/($B$3:$B$1001=J195),$D$3:$D$1001),"")</f>
        <v/>
      </c>
      <c r="L195" s="3" t="str">
        <f t="shared" ref="L195:L254" ca="1" si="10">IF(OR(K195="",K195=0),"CRITICO(MAS 30 DIAS)",IF(TODAY()-K195&gt;=30,"CRITICO(MAS 30 DIAS)",IF(TODAY()-K195&gt;=15,"POR REALIZAR(ALERTA)","AL DIA (MENOS 10 DIAS)")))</f>
        <v>CRITICO(MAS 30 DIAS)</v>
      </c>
    </row>
    <row r="196" spans="1:12" x14ac:dyDescent="0.25">
      <c r="A196" s="3" t="str">
        <f t="shared" si="8"/>
        <v>ene</v>
      </c>
      <c r="J196" s="30" t="s">
        <v>370</v>
      </c>
      <c r="K196" s="17" t="str">
        <f t="shared" si="9"/>
        <v/>
      </c>
      <c r="L196" s="3" t="str">
        <f t="shared" ca="1" si="10"/>
        <v>CRITICO(MAS 30 DIAS)</v>
      </c>
    </row>
    <row r="197" spans="1:12" x14ac:dyDescent="0.25">
      <c r="A197" s="3" t="str">
        <f t="shared" si="8"/>
        <v>ene</v>
      </c>
      <c r="J197" s="30" t="s">
        <v>150</v>
      </c>
      <c r="K197" s="17" t="str">
        <f t="shared" si="9"/>
        <v/>
      </c>
      <c r="L197" s="3" t="str">
        <f t="shared" ca="1" si="10"/>
        <v>CRITICO(MAS 30 DIAS)</v>
      </c>
    </row>
    <row r="198" spans="1:12" x14ac:dyDescent="0.25">
      <c r="A198" s="3" t="str">
        <f t="shared" ref="A198:A261" si="11">TEXT($D198,"mmm")</f>
        <v>ene</v>
      </c>
      <c r="J198" s="30" t="s">
        <v>362</v>
      </c>
      <c r="K198" s="17" t="str">
        <f t="shared" si="9"/>
        <v/>
      </c>
      <c r="L198" s="3" t="str">
        <f t="shared" ca="1" si="10"/>
        <v>CRITICO(MAS 30 DIAS)</v>
      </c>
    </row>
    <row r="199" spans="1:12" x14ac:dyDescent="0.25">
      <c r="A199" s="3" t="str">
        <f t="shared" si="11"/>
        <v>ene</v>
      </c>
      <c r="J199" s="30" t="s">
        <v>330</v>
      </c>
      <c r="K199" s="17" t="str">
        <f t="shared" si="9"/>
        <v/>
      </c>
      <c r="L199" s="3" t="str">
        <f t="shared" ca="1" si="10"/>
        <v>CRITICO(MAS 30 DIAS)</v>
      </c>
    </row>
    <row r="200" spans="1:12" x14ac:dyDescent="0.25">
      <c r="A200" s="3" t="str">
        <f t="shared" si="11"/>
        <v>ene</v>
      </c>
      <c r="J200" s="30" t="s">
        <v>378</v>
      </c>
      <c r="K200" s="17">
        <f t="shared" si="9"/>
        <v>46310</v>
      </c>
      <c r="L200" s="3" t="str">
        <f t="shared" ca="1" si="10"/>
        <v>AL DIA (MENOS 10 DIAS)</v>
      </c>
    </row>
    <row r="201" spans="1:12" x14ac:dyDescent="0.25">
      <c r="A201" s="3" t="str">
        <f t="shared" si="11"/>
        <v>ene</v>
      </c>
      <c r="J201" s="31" t="s">
        <v>368</v>
      </c>
      <c r="K201" s="17">
        <f t="shared" si="9"/>
        <v>46312</v>
      </c>
      <c r="L201" s="3" t="str">
        <f t="shared" ca="1" si="10"/>
        <v>AL DIA (MENOS 10 DIAS)</v>
      </c>
    </row>
    <row r="202" spans="1:12" x14ac:dyDescent="0.25">
      <c r="A202" s="3" t="str">
        <f t="shared" si="11"/>
        <v>ene</v>
      </c>
      <c r="J202" s="30" t="s">
        <v>340</v>
      </c>
      <c r="K202" s="17" t="str">
        <f t="shared" si="9"/>
        <v/>
      </c>
      <c r="L202" s="3" t="str">
        <f t="shared" ca="1" si="10"/>
        <v>CRITICO(MAS 30 DIAS)</v>
      </c>
    </row>
    <row r="203" spans="1:12" x14ac:dyDescent="0.25">
      <c r="A203" s="3" t="str">
        <f t="shared" si="11"/>
        <v>ene</v>
      </c>
      <c r="J203" s="30" t="s">
        <v>345</v>
      </c>
      <c r="K203" s="17" t="str">
        <f t="shared" si="9"/>
        <v/>
      </c>
      <c r="L203" s="3" t="str">
        <f t="shared" ca="1" si="10"/>
        <v>CRITICO(MAS 30 DIAS)</v>
      </c>
    </row>
    <row r="204" spans="1:12" x14ac:dyDescent="0.25">
      <c r="A204" s="3" t="str">
        <f t="shared" si="11"/>
        <v>ene</v>
      </c>
      <c r="J204" s="30" t="s">
        <v>327</v>
      </c>
      <c r="K204" s="17" t="str">
        <f t="shared" si="9"/>
        <v/>
      </c>
      <c r="L204" s="3" t="str">
        <f t="shared" ca="1" si="10"/>
        <v>CRITICO(MAS 30 DIAS)</v>
      </c>
    </row>
    <row r="205" spans="1:12" x14ac:dyDescent="0.25">
      <c r="A205" s="3" t="str">
        <f t="shared" si="11"/>
        <v>ene</v>
      </c>
      <c r="J205" s="30" t="s">
        <v>430</v>
      </c>
      <c r="K205" s="17" t="str">
        <f t="shared" si="9"/>
        <v/>
      </c>
      <c r="L205" s="3" t="str">
        <f t="shared" ca="1" si="10"/>
        <v>CRITICO(MAS 30 DIAS)</v>
      </c>
    </row>
    <row r="206" spans="1:12" x14ac:dyDescent="0.25">
      <c r="A206" s="3" t="str">
        <f t="shared" si="11"/>
        <v>ene</v>
      </c>
      <c r="J206" s="30" t="s">
        <v>331</v>
      </c>
      <c r="K206" s="17" t="str">
        <f t="shared" si="9"/>
        <v/>
      </c>
      <c r="L206" s="3" t="str">
        <f t="shared" ca="1" si="10"/>
        <v>CRITICO(MAS 30 DIAS)</v>
      </c>
    </row>
    <row r="207" spans="1:12" x14ac:dyDescent="0.25">
      <c r="A207" s="3" t="str">
        <f t="shared" si="11"/>
        <v>ene</v>
      </c>
      <c r="J207" s="30" t="s">
        <v>373</v>
      </c>
      <c r="K207" s="17" t="str">
        <f t="shared" si="9"/>
        <v/>
      </c>
      <c r="L207" s="3" t="str">
        <f t="shared" ca="1" si="10"/>
        <v>CRITICO(MAS 30 DIAS)</v>
      </c>
    </row>
    <row r="208" spans="1:12" x14ac:dyDescent="0.25">
      <c r="A208" s="3" t="str">
        <f t="shared" si="11"/>
        <v>ene</v>
      </c>
      <c r="J208" s="30" t="s">
        <v>58</v>
      </c>
      <c r="K208" s="17" t="str">
        <f t="shared" si="9"/>
        <v/>
      </c>
      <c r="L208" s="3" t="str">
        <f t="shared" ca="1" si="10"/>
        <v>CRITICO(MAS 30 DIAS)</v>
      </c>
    </row>
    <row r="209" spans="1:12" x14ac:dyDescent="0.25">
      <c r="A209" s="3" t="str">
        <f t="shared" si="11"/>
        <v>ene</v>
      </c>
      <c r="J209" s="30" t="s">
        <v>153</v>
      </c>
      <c r="K209" s="17" t="str">
        <f t="shared" si="9"/>
        <v/>
      </c>
      <c r="L209" s="3" t="str">
        <f t="shared" ca="1" si="10"/>
        <v>CRITICO(MAS 30 DIAS)</v>
      </c>
    </row>
    <row r="210" spans="1:12" x14ac:dyDescent="0.25">
      <c r="A210" s="3" t="str">
        <f t="shared" si="11"/>
        <v>ene</v>
      </c>
      <c r="J210" s="30" t="s">
        <v>381</v>
      </c>
      <c r="K210" s="17" t="str">
        <f t="shared" si="9"/>
        <v/>
      </c>
      <c r="L210" s="3" t="str">
        <f t="shared" ca="1" si="10"/>
        <v>CRITICO(MAS 30 DIAS)</v>
      </c>
    </row>
    <row r="211" spans="1:12" x14ac:dyDescent="0.25">
      <c r="A211" s="3" t="str">
        <f t="shared" si="11"/>
        <v>ene</v>
      </c>
      <c r="J211" s="30" t="s">
        <v>13</v>
      </c>
      <c r="K211" s="17">
        <f t="shared" si="9"/>
        <v>46308</v>
      </c>
      <c r="L211" s="3" t="str">
        <f t="shared" ca="1" si="10"/>
        <v>AL DIA (MENOS 10 DIAS)</v>
      </c>
    </row>
    <row r="212" spans="1:12" x14ac:dyDescent="0.25">
      <c r="A212" s="3" t="str">
        <f t="shared" si="11"/>
        <v>ene</v>
      </c>
      <c r="J212" s="30" t="s">
        <v>14</v>
      </c>
      <c r="K212" s="17" t="str">
        <f t="shared" si="9"/>
        <v/>
      </c>
      <c r="L212" s="3" t="str">
        <f t="shared" ca="1" si="10"/>
        <v>CRITICO(MAS 30 DIAS)</v>
      </c>
    </row>
    <row r="213" spans="1:12" x14ac:dyDescent="0.25">
      <c r="A213" s="3" t="str">
        <f t="shared" si="11"/>
        <v>ene</v>
      </c>
      <c r="J213" s="30" t="s">
        <v>155</v>
      </c>
      <c r="K213" s="17" t="str">
        <f t="shared" si="9"/>
        <v/>
      </c>
      <c r="L213" s="3" t="str">
        <f t="shared" ca="1" si="10"/>
        <v>CRITICO(MAS 30 DIAS)</v>
      </c>
    </row>
    <row r="214" spans="1:12" x14ac:dyDescent="0.25">
      <c r="A214" s="3" t="str">
        <f t="shared" si="11"/>
        <v>ene</v>
      </c>
      <c r="J214" s="30" t="s">
        <v>60</v>
      </c>
      <c r="K214" s="17" t="str">
        <f t="shared" si="9"/>
        <v/>
      </c>
      <c r="L214" s="3" t="str">
        <f t="shared" ca="1" si="10"/>
        <v>CRITICO(MAS 30 DIAS)</v>
      </c>
    </row>
    <row r="215" spans="1:12" x14ac:dyDescent="0.25">
      <c r="A215" s="3" t="str">
        <f t="shared" si="11"/>
        <v>ene</v>
      </c>
      <c r="J215" s="30" t="s">
        <v>243</v>
      </c>
      <c r="K215" s="17" t="str">
        <f t="shared" si="9"/>
        <v/>
      </c>
      <c r="L215" s="3" t="str">
        <f t="shared" ca="1" si="10"/>
        <v>CRITICO(MAS 30 DIAS)</v>
      </c>
    </row>
    <row r="216" spans="1:12" x14ac:dyDescent="0.25">
      <c r="A216" s="3" t="str">
        <f t="shared" si="11"/>
        <v>ene</v>
      </c>
      <c r="J216" s="30" t="s">
        <v>435</v>
      </c>
      <c r="K216" s="17" t="str">
        <f t="shared" si="9"/>
        <v/>
      </c>
      <c r="L216" s="3" t="str">
        <f t="shared" ca="1" si="10"/>
        <v>CRITICO(MAS 30 DIAS)</v>
      </c>
    </row>
    <row r="217" spans="1:12" x14ac:dyDescent="0.25">
      <c r="A217" s="3" t="str">
        <f t="shared" si="11"/>
        <v>ene</v>
      </c>
      <c r="J217" s="30" t="s">
        <v>237</v>
      </c>
      <c r="K217" s="17" t="str">
        <f t="shared" si="9"/>
        <v/>
      </c>
      <c r="L217" s="3" t="str">
        <f t="shared" ca="1" si="10"/>
        <v>CRITICO(MAS 30 DIAS)</v>
      </c>
    </row>
    <row r="218" spans="1:12" x14ac:dyDescent="0.25">
      <c r="A218" s="3" t="str">
        <f t="shared" si="11"/>
        <v>ene</v>
      </c>
      <c r="C218" s="7"/>
      <c r="J218" s="30" t="s">
        <v>417</v>
      </c>
      <c r="K218" s="17" t="str">
        <f t="shared" si="9"/>
        <v/>
      </c>
      <c r="L218" s="3" t="str">
        <f t="shared" ca="1" si="10"/>
        <v>CRITICO(MAS 30 DIAS)</v>
      </c>
    </row>
    <row r="219" spans="1:12" x14ac:dyDescent="0.25">
      <c r="A219" s="3" t="str">
        <f t="shared" si="11"/>
        <v>ene</v>
      </c>
      <c r="J219" s="30" t="s">
        <v>298</v>
      </c>
      <c r="K219" s="17">
        <f t="shared" si="9"/>
        <v>46298</v>
      </c>
      <c r="L219" s="3" t="str">
        <f t="shared" ca="1" si="10"/>
        <v>POR REALIZAR(ALERTA)</v>
      </c>
    </row>
    <row r="220" spans="1:12" x14ac:dyDescent="0.25">
      <c r="A220" s="3" t="str">
        <f t="shared" si="11"/>
        <v>ene</v>
      </c>
      <c r="J220" s="30" t="s">
        <v>429</v>
      </c>
      <c r="K220" s="17" t="str">
        <f t="shared" si="9"/>
        <v/>
      </c>
      <c r="L220" s="3" t="str">
        <f t="shared" ca="1" si="10"/>
        <v>CRITICO(MAS 30 DIAS)</v>
      </c>
    </row>
    <row r="221" spans="1:12" x14ac:dyDescent="0.25">
      <c r="A221" s="3" t="str">
        <f t="shared" si="11"/>
        <v>ene</v>
      </c>
      <c r="J221" s="30" t="s">
        <v>367</v>
      </c>
      <c r="K221" s="17" t="str">
        <f t="shared" si="9"/>
        <v/>
      </c>
      <c r="L221" s="3" t="str">
        <f t="shared" ca="1" si="10"/>
        <v>CRITICO(MAS 30 DIAS)</v>
      </c>
    </row>
    <row r="222" spans="1:12" x14ac:dyDescent="0.25">
      <c r="A222" s="3" t="str">
        <f t="shared" si="11"/>
        <v>ene</v>
      </c>
      <c r="J222" s="30" t="s">
        <v>366</v>
      </c>
      <c r="K222" s="17" t="str">
        <f t="shared" si="9"/>
        <v/>
      </c>
      <c r="L222" s="3" t="str">
        <f t="shared" ca="1" si="10"/>
        <v>CRITICO(MAS 30 DIAS)</v>
      </c>
    </row>
    <row r="223" spans="1:12" x14ac:dyDescent="0.25">
      <c r="A223" s="3" t="str">
        <f t="shared" si="11"/>
        <v>ene</v>
      </c>
      <c r="J223" s="30" t="s">
        <v>159</v>
      </c>
      <c r="K223" s="17" t="str">
        <f t="shared" si="9"/>
        <v/>
      </c>
      <c r="L223" s="3" t="str">
        <f t="shared" ca="1" si="10"/>
        <v>CRITICO(MAS 30 DIAS)</v>
      </c>
    </row>
    <row r="224" spans="1:12" x14ac:dyDescent="0.25">
      <c r="A224" s="3" t="str">
        <f t="shared" si="11"/>
        <v>ene</v>
      </c>
      <c r="J224" s="30" t="s">
        <v>160</v>
      </c>
      <c r="K224" s="17" t="str">
        <f t="shared" si="9"/>
        <v/>
      </c>
      <c r="L224" s="3" t="str">
        <f t="shared" ca="1" si="10"/>
        <v>CRITICO(MAS 30 DIAS)</v>
      </c>
    </row>
    <row r="225" spans="1:12" x14ac:dyDescent="0.25">
      <c r="A225" s="3" t="str">
        <f t="shared" si="11"/>
        <v>ene</v>
      </c>
      <c r="J225" s="30" t="s">
        <v>402</v>
      </c>
      <c r="K225" s="17" t="str">
        <f t="shared" si="9"/>
        <v/>
      </c>
      <c r="L225" s="3" t="str">
        <f t="shared" ca="1" si="10"/>
        <v>CRITICO(MAS 30 DIAS)</v>
      </c>
    </row>
    <row r="226" spans="1:12" x14ac:dyDescent="0.25">
      <c r="A226" s="3" t="str">
        <f t="shared" si="11"/>
        <v>ene</v>
      </c>
      <c r="J226" s="30" t="s">
        <v>164</v>
      </c>
      <c r="K226" s="17" t="str">
        <f t="shared" si="9"/>
        <v/>
      </c>
      <c r="L226" s="3" t="str">
        <f t="shared" ca="1" si="10"/>
        <v>CRITICO(MAS 30 DIAS)</v>
      </c>
    </row>
    <row r="227" spans="1:12" x14ac:dyDescent="0.25">
      <c r="A227" s="3" t="str">
        <f t="shared" si="11"/>
        <v>ene</v>
      </c>
      <c r="J227" s="30" t="s">
        <v>377</v>
      </c>
      <c r="K227" s="17" t="str">
        <f t="shared" si="9"/>
        <v/>
      </c>
      <c r="L227" s="3" t="str">
        <f t="shared" ca="1" si="10"/>
        <v>CRITICO(MAS 30 DIAS)</v>
      </c>
    </row>
    <row r="228" spans="1:12" x14ac:dyDescent="0.25">
      <c r="A228" s="3" t="str">
        <f t="shared" si="11"/>
        <v>ene</v>
      </c>
      <c r="J228" s="30" t="s">
        <v>390</v>
      </c>
      <c r="K228" s="17" t="str">
        <f t="shared" si="9"/>
        <v/>
      </c>
      <c r="L228" s="3" t="str">
        <f t="shared" ca="1" si="10"/>
        <v>CRITICO(MAS 30 DIAS)</v>
      </c>
    </row>
    <row r="229" spans="1:12" x14ac:dyDescent="0.25">
      <c r="A229" s="3" t="str">
        <f t="shared" si="11"/>
        <v>ene</v>
      </c>
      <c r="J229" s="30" t="s">
        <v>371</v>
      </c>
      <c r="K229" s="17" t="str">
        <f t="shared" si="9"/>
        <v/>
      </c>
      <c r="L229" s="3" t="str">
        <f t="shared" ca="1" si="10"/>
        <v>CRITICO(MAS 30 DIAS)</v>
      </c>
    </row>
    <row r="230" spans="1:12" x14ac:dyDescent="0.25">
      <c r="A230" s="3" t="str">
        <f t="shared" si="11"/>
        <v>ene</v>
      </c>
      <c r="J230" s="30" t="s">
        <v>333</v>
      </c>
      <c r="K230" s="17" t="str">
        <f t="shared" si="9"/>
        <v/>
      </c>
      <c r="L230" s="3" t="str">
        <f t="shared" ca="1" si="10"/>
        <v>CRITICO(MAS 30 DIAS)</v>
      </c>
    </row>
    <row r="231" spans="1:12" x14ac:dyDescent="0.25">
      <c r="A231" s="3" t="str">
        <f t="shared" si="11"/>
        <v>ene</v>
      </c>
      <c r="J231" s="30" t="s">
        <v>349</v>
      </c>
      <c r="K231" s="17" t="str">
        <f t="shared" si="9"/>
        <v/>
      </c>
      <c r="L231" s="3" t="str">
        <f t="shared" ca="1" si="10"/>
        <v>CRITICO(MAS 30 DIAS)</v>
      </c>
    </row>
    <row r="232" spans="1:12" x14ac:dyDescent="0.25">
      <c r="A232" s="3" t="str">
        <f t="shared" si="11"/>
        <v>ene</v>
      </c>
      <c r="J232" s="30" t="s">
        <v>338</v>
      </c>
      <c r="K232" s="17" t="str">
        <f t="shared" si="9"/>
        <v/>
      </c>
      <c r="L232" s="3" t="str">
        <f t="shared" ca="1" si="10"/>
        <v>CRITICO(MAS 30 DIAS)</v>
      </c>
    </row>
    <row r="233" spans="1:12" x14ac:dyDescent="0.25">
      <c r="A233" s="3" t="str">
        <f t="shared" si="11"/>
        <v>ene</v>
      </c>
      <c r="J233" s="30" t="s">
        <v>165</v>
      </c>
      <c r="K233" s="17" t="str">
        <f t="shared" si="9"/>
        <v/>
      </c>
      <c r="L233" s="3" t="str">
        <f t="shared" ca="1" si="10"/>
        <v>CRITICO(MAS 30 DIAS)</v>
      </c>
    </row>
    <row r="234" spans="1:12" x14ac:dyDescent="0.25">
      <c r="A234" s="3" t="str">
        <f t="shared" si="11"/>
        <v>ene</v>
      </c>
      <c r="J234" s="30" t="s">
        <v>460</v>
      </c>
      <c r="K234" s="17">
        <f t="shared" si="9"/>
        <v>46305</v>
      </c>
      <c r="L234" s="3" t="str">
        <f t="shared" ca="1" si="10"/>
        <v>AL DIA (MENOS 10 DIAS)</v>
      </c>
    </row>
    <row r="235" spans="1:12" x14ac:dyDescent="0.25">
      <c r="A235" s="3" t="str">
        <f t="shared" si="11"/>
        <v>ene</v>
      </c>
      <c r="J235" s="30" t="s">
        <v>336</v>
      </c>
      <c r="K235" s="17" t="str">
        <f t="shared" si="9"/>
        <v/>
      </c>
      <c r="L235" s="3" t="str">
        <f t="shared" ca="1" si="10"/>
        <v>CRITICO(MAS 30 DIAS)</v>
      </c>
    </row>
    <row r="236" spans="1:12" x14ac:dyDescent="0.25">
      <c r="A236" s="3" t="str">
        <f t="shared" si="11"/>
        <v>ene</v>
      </c>
      <c r="J236" s="30" t="s">
        <v>166</v>
      </c>
      <c r="K236" s="17" t="str">
        <f t="shared" si="9"/>
        <v/>
      </c>
      <c r="L236" s="3" t="str">
        <f t="shared" ca="1" si="10"/>
        <v>CRITICO(MAS 30 DIAS)</v>
      </c>
    </row>
    <row r="237" spans="1:12" x14ac:dyDescent="0.25">
      <c r="A237" s="3" t="str">
        <f t="shared" si="11"/>
        <v>ene</v>
      </c>
      <c r="J237" s="31" t="s">
        <v>167</v>
      </c>
      <c r="K237" s="17" t="str">
        <f t="shared" si="9"/>
        <v/>
      </c>
      <c r="L237" s="3" t="str">
        <f t="shared" ca="1" si="10"/>
        <v>CRITICO(MAS 30 DIAS)</v>
      </c>
    </row>
    <row r="238" spans="1:12" x14ac:dyDescent="0.25">
      <c r="A238" s="3" t="str">
        <f t="shared" si="11"/>
        <v>ene</v>
      </c>
      <c r="J238" s="30" t="s">
        <v>334</v>
      </c>
      <c r="K238" s="17" t="str">
        <f t="shared" si="9"/>
        <v/>
      </c>
      <c r="L238" s="3" t="str">
        <f t="shared" ca="1" si="10"/>
        <v>CRITICO(MAS 30 DIAS)</v>
      </c>
    </row>
    <row r="239" spans="1:12" x14ac:dyDescent="0.25">
      <c r="A239" s="3" t="str">
        <f t="shared" si="11"/>
        <v>ene</v>
      </c>
      <c r="J239" s="30" t="s">
        <v>171</v>
      </c>
      <c r="K239" s="17">
        <f t="shared" si="9"/>
        <v>46300</v>
      </c>
      <c r="L239" s="3" t="str">
        <f t="shared" ca="1" si="10"/>
        <v>AL DIA (MENOS 10 DIAS)</v>
      </c>
    </row>
    <row r="240" spans="1:12" x14ac:dyDescent="0.25">
      <c r="A240" s="3" t="str">
        <f t="shared" si="11"/>
        <v>ene</v>
      </c>
      <c r="J240" s="30" t="s">
        <v>433</v>
      </c>
      <c r="K240" s="17" t="str">
        <f t="shared" si="9"/>
        <v/>
      </c>
      <c r="L240" s="3" t="str">
        <f t="shared" ca="1" si="10"/>
        <v>CRITICO(MAS 30 DIAS)</v>
      </c>
    </row>
    <row r="241" spans="1:12" x14ac:dyDescent="0.25">
      <c r="A241" s="3" t="str">
        <f t="shared" si="11"/>
        <v>ene</v>
      </c>
      <c r="J241" s="30" t="s">
        <v>332</v>
      </c>
      <c r="K241" s="17" t="str">
        <f t="shared" si="9"/>
        <v/>
      </c>
      <c r="L241" s="3" t="str">
        <f t="shared" ca="1" si="10"/>
        <v>CRITICO(MAS 30 DIAS)</v>
      </c>
    </row>
    <row r="242" spans="1:12" x14ac:dyDescent="0.25">
      <c r="A242" s="3" t="str">
        <f t="shared" si="11"/>
        <v>ene</v>
      </c>
      <c r="J242" s="30" t="s">
        <v>173</v>
      </c>
      <c r="K242" s="17" t="str">
        <f t="shared" si="9"/>
        <v/>
      </c>
      <c r="L242" s="3" t="str">
        <f t="shared" ca="1" si="10"/>
        <v>CRITICO(MAS 30 DIAS)</v>
      </c>
    </row>
    <row r="243" spans="1:12" x14ac:dyDescent="0.25">
      <c r="A243" s="3" t="str">
        <f t="shared" si="11"/>
        <v>ene</v>
      </c>
      <c r="J243" s="30" t="s">
        <v>312</v>
      </c>
      <c r="K243" s="17" t="str">
        <f t="shared" si="9"/>
        <v/>
      </c>
      <c r="L243" s="3" t="str">
        <f t="shared" ca="1" si="10"/>
        <v>CRITICO(MAS 30 DIAS)</v>
      </c>
    </row>
    <row r="244" spans="1:12" x14ac:dyDescent="0.25">
      <c r="A244" s="3" t="str">
        <f t="shared" si="11"/>
        <v>ene</v>
      </c>
      <c r="J244" s="30" t="s">
        <v>217</v>
      </c>
      <c r="K244" s="17" t="str">
        <f t="shared" si="9"/>
        <v/>
      </c>
      <c r="L244" s="3" t="str">
        <f t="shared" ca="1" si="10"/>
        <v>CRITICO(MAS 30 DIAS)</v>
      </c>
    </row>
    <row r="245" spans="1:12" x14ac:dyDescent="0.25">
      <c r="A245" s="3" t="str">
        <f t="shared" si="11"/>
        <v>ene</v>
      </c>
      <c r="J245" s="30" t="s">
        <v>409</v>
      </c>
      <c r="K245" s="17" t="str">
        <f t="shared" si="9"/>
        <v/>
      </c>
      <c r="L245" s="3" t="str">
        <f t="shared" ca="1" si="10"/>
        <v>CRITICO(MAS 30 DIAS)</v>
      </c>
    </row>
    <row r="246" spans="1:12" x14ac:dyDescent="0.25">
      <c r="A246" s="3" t="str">
        <f t="shared" si="11"/>
        <v>ene</v>
      </c>
      <c r="J246" s="30" t="s">
        <v>356</v>
      </c>
      <c r="K246" s="17" t="str">
        <f t="shared" si="9"/>
        <v/>
      </c>
      <c r="L246" s="3" t="str">
        <f t="shared" ca="1" si="10"/>
        <v>CRITICO(MAS 30 DIAS)</v>
      </c>
    </row>
    <row r="247" spans="1:12" x14ac:dyDescent="0.25">
      <c r="A247" s="3" t="str">
        <f t="shared" si="11"/>
        <v>ene</v>
      </c>
      <c r="J247" s="30" t="s">
        <v>274</v>
      </c>
      <c r="K247" s="17" t="str">
        <f t="shared" si="9"/>
        <v/>
      </c>
      <c r="L247" s="3" t="str">
        <f t="shared" ca="1" si="10"/>
        <v>CRITICO(MAS 30 DIAS)</v>
      </c>
    </row>
    <row r="248" spans="1:12" x14ac:dyDescent="0.25">
      <c r="A248" s="3" t="str">
        <f t="shared" si="11"/>
        <v>ene</v>
      </c>
      <c r="J248" s="30" t="s">
        <v>268</v>
      </c>
      <c r="K248" s="17" t="str">
        <f t="shared" si="9"/>
        <v/>
      </c>
      <c r="L248" s="3" t="str">
        <f t="shared" ca="1" si="10"/>
        <v>CRITICO(MAS 30 DIAS)</v>
      </c>
    </row>
    <row r="249" spans="1:12" x14ac:dyDescent="0.25">
      <c r="A249" s="3" t="str">
        <f t="shared" si="11"/>
        <v>ene</v>
      </c>
      <c r="J249" s="30" t="s">
        <v>179</v>
      </c>
      <c r="K249" s="17" t="str">
        <f t="shared" si="9"/>
        <v/>
      </c>
      <c r="L249" s="3" t="str">
        <f t="shared" ca="1" si="10"/>
        <v>CRITICO(MAS 30 DIAS)</v>
      </c>
    </row>
    <row r="250" spans="1:12" x14ac:dyDescent="0.25">
      <c r="A250" s="3" t="str">
        <f t="shared" si="11"/>
        <v>ene</v>
      </c>
      <c r="J250" s="30" t="s">
        <v>408</v>
      </c>
      <c r="K250" s="17" t="str">
        <f t="shared" si="9"/>
        <v/>
      </c>
      <c r="L250" s="3" t="str">
        <f t="shared" ca="1" si="10"/>
        <v>CRITICO(MAS 30 DIAS)</v>
      </c>
    </row>
    <row r="251" spans="1:12" x14ac:dyDescent="0.25">
      <c r="A251" s="3" t="str">
        <f t="shared" si="11"/>
        <v>ene</v>
      </c>
      <c r="J251" s="30" t="s">
        <v>326</v>
      </c>
      <c r="K251" s="17" t="str">
        <f t="shared" si="9"/>
        <v/>
      </c>
      <c r="L251" s="3" t="str">
        <f t="shared" ca="1" si="10"/>
        <v>CRITICO(MAS 30 DIAS)</v>
      </c>
    </row>
    <row r="252" spans="1:12" x14ac:dyDescent="0.25">
      <c r="A252" s="3" t="str">
        <f t="shared" si="11"/>
        <v>ene</v>
      </c>
      <c r="J252" s="30" t="s">
        <v>420</v>
      </c>
      <c r="K252" s="17" t="str">
        <f t="shared" si="9"/>
        <v/>
      </c>
      <c r="L252" s="3" t="str">
        <f t="shared" ca="1" si="10"/>
        <v>CRITICO(MAS 30 DIAS)</v>
      </c>
    </row>
    <row r="253" spans="1:12" x14ac:dyDescent="0.25">
      <c r="A253" s="3" t="str">
        <f t="shared" si="11"/>
        <v>ene</v>
      </c>
      <c r="J253" s="30" t="s">
        <v>182</v>
      </c>
      <c r="K253" s="17" t="str">
        <f t="shared" si="9"/>
        <v/>
      </c>
      <c r="L253" s="3" t="str">
        <f t="shared" ca="1" si="10"/>
        <v>CRITICO(MAS 30 DIAS)</v>
      </c>
    </row>
    <row r="254" spans="1:12" x14ac:dyDescent="0.25">
      <c r="A254" s="3" t="str">
        <f t="shared" si="11"/>
        <v>ene</v>
      </c>
      <c r="J254" s="30" t="s">
        <v>406</v>
      </c>
      <c r="K254" s="17" t="str">
        <f t="shared" si="9"/>
        <v/>
      </c>
      <c r="L254" s="3" t="str">
        <f t="shared" ca="1" si="10"/>
        <v>CRITICO(MAS 30 DIAS)</v>
      </c>
    </row>
    <row r="255" spans="1:12" x14ac:dyDescent="0.25">
      <c r="A255" s="3" t="str">
        <f t="shared" si="11"/>
        <v>ene</v>
      </c>
    </row>
    <row r="256" spans="1:12" x14ac:dyDescent="0.25">
      <c r="A256" s="3" t="str">
        <f t="shared" si="11"/>
        <v>ene</v>
      </c>
    </row>
    <row r="257" spans="1:1" x14ac:dyDescent="0.25">
      <c r="A257" s="3" t="str">
        <f t="shared" si="11"/>
        <v>ene</v>
      </c>
    </row>
    <row r="258" spans="1:1" x14ac:dyDescent="0.25">
      <c r="A258" s="3" t="str">
        <f t="shared" si="11"/>
        <v>ene</v>
      </c>
    </row>
    <row r="259" spans="1:1" x14ac:dyDescent="0.25">
      <c r="A259" s="3" t="str">
        <f t="shared" si="11"/>
        <v>ene</v>
      </c>
    </row>
    <row r="260" spans="1:1" x14ac:dyDescent="0.25">
      <c r="A260" s="3" t="str">
        <f t="shared" si="11"/>
        <v>ene</v>
      </c>
    </row>
    <row r="261" spans="1:1" x14ac:dyDescent="0.25">
      <c r="A261" s="3" t="str">
        <f t="shared" si="11"/>
        <v>ene</v>
      </c>
    </row>
    <row r="262" spans="1:1" x14ac:dyDescent="0.25">
      <c r="A262" s="3" t="str">
        <f t="shared" ref="A262:A325" si="12">TEXT($D262,"mmm")</f>
        <v>ene</v>
      </c>
    </row>
    <row r="263" spans="1:1" x14ac:dyDescent="0.25">
      <c r="A263" s="3" t="str">
        <f t="shared" si="12"/>
        <v>ene</v>
      </c>
    </row>
    <row r="264" spans="1:1" x14ac:dyDescent="0.25">
      <c r="A264" s="3" t="str">
        <f t="shared" si="12"/>
        <v>ene</v>
      </c>
    </row>
    <row r="265" spans="1:1" x14ac:dyDescent="0.25">
      <c r="A265" s="3" t="str">
        <f t="shared" si="12"/>
        <v>ene</v>
      </c>
    </row>
    <row r="266" spans="1:1" x14ac:dyDescent="0.25">
      <c r="A266" s="3" t="str">
        <f t="shared" si="12"/>
        <v>ene</v>
      </c>
    </row>
    <row r="267" spans="1:1" x14ac:dyDescent="0.25">
      <c r="A267" s="3" t="str">
        <f t="shared" si="12"/>
        <v>ene</v>
      </c>
    </row>
    <row r="268" spans="1:1" x14ac:dyDescent="0.25">
      <c r="A268" s="3" t="str">
        <f t="shared" si="12"/>
        <v>ene</v>
      </c>
    </row>
    <row r="269" spans="1:1" x14ac:dyDescent="0.25">
      <c r="A269" s="3" t="str">
        <f t="shared" si="12"/>
        <v>ene</v>
      </c>
    </row>
    <row r="270" spans="1:1" x14ac:dyDescent="0.25">
      <c r="A270" s="3" t="str">
        <f t="shared" si="12"/>
        <v>ene</v>
      </c>
    </row>
    <row r="271" spans="1:1" x14ac:dyDescent="0.25">
      <c r="A271" s="3" t="str">
        <f t="shared" si="12"/>
        <v>ene</v>
      </c>
    </row>
    <row r="272" spans="1:1" x14ac:dyDescent="0.25">
      <c r="A272" s="3" t="str">
        <f t="shared" si="12"/>
        <v>ene</v>
      </c>
    </row>
    <row r="273" spans="1:1" x14ac:dyDescent="0.25">
      <c r="A273" s="3" t="str">
        <f t="shared" si="12"/>
        <v>ene</v>
      </c>
    </row>
    <row r="274" spans="1:1" x14ac:dyDescent="0.25">
      <c r="A274" s="3" t="str">
        <f t="shared" si="12"/>
        <v>ene</v>
      </c>
    </row>
    <row r="275" spans="1:1" x14ac:dyDescent="0.25">
      <c r="A275" s="3" t="str">
        <f t="shared" si="12"/>
        <v>ene</v>
      </c>
    </row>
    <row r="276" spans="1:1" x14ac:dyDescent="0.25">
      <c r="A276" s="3" t="str">
        <f t="shared" si="12"/>
        <v>ene</v>
      </c>
    </row>
    <row r="277" spans="1:1" x14ac:dyDescent="0.25">
      <c r="A277" s="3" t="str">
        <f t="shared" si="12"/>
        <v>ene</v>
      </c>
    </row>
    <row r="278" spans="1:1" x14ac:dyDescent="0.25">
      <c r="A278" s="3" t="str">
        <f t="shared" si="12"/>
        <v>ene</v>
      </c>
    </row>
    <row r="279" spans="1:1" x14ac:dyDescent="0.25">
      <c r="A279" s="3" t="str">
        <f t="shared" si="12"/>
        <v>ene</v>
      </c>
    </row>
    <row r="280" spans="1:1" x14ac:dyDescent="0.25">
      <c r="A280" s="3" t="str">
        <f t="shared" si="12"/>
        <v>ene</v>
      </c>
    </row>
    <row r="281" spans="1:1" x14ac:dyDescent="0.25">
      <c r="A281" s="3" t="str">
        <f t="shared" si="12"/>
        <v>ene</v>
      </c>
    </row>
    <row r="282" spans="1:1" x14ac:dyDescent="0.25">
      <c r="A282" s="3" t="str">
        <f t="shared" si="12"/>
        <v>ene</v>
      </c>
    </row>
    <row r="283" spans="1:1" x14ac:dyDescent="0.25">
      <c r="A283" s="3" t="str">
        <f t="shared" si="12"/>
        <v>ene</v>
      </c>
    </row>
    <row r="284" spans="1:1" x14ac:dyDescent="0.25">
      <c r="A284" s="3" t="str">
        <f t="shared" si="12"/>
        <v>ene</v>
      </c>
    </row>
    <row r="285" spans="1:1" x14ac:dyDescent="0.25">
      <c r="A285" s="3" t="str">
        <f t="shared" si="12"/>
        <v>ene</v>
      </c>
    </row>
    <row r="286" spans="1:1" x14ac:dyDescent="0.25">
      <c r="A286" s="3" t="str">
        <f t="shared" si="12"/>
        <v>ene</v>
      </c>
    </row>
    <row r="287" spans="1:1" x14ac:dyDescent="0.25">
      <c r="A287" s="3" t="str">
        <f t="shared" si="12"/>
        <v>ene</v>
      </c>
    </row>
    <row r="288" spans="1:1" x14ac:dyDescent="0.25">
      <c r="A288" s="3" t="str">
        <f t="shared" si="12"/>
        <v>ene</v>
      </c>
    </row>
    <row r="289" spans="1:1" x14ac:dyDescent="0.25">
      <c r="A289" s="3" t="str">
        <f t="shared" si="12"/>
        <v>ene</v>
      </c>
    </row>
    <row r="290" spans="1:1" x14ac:dyDescent="0.25">
      <c r="A290" s="3" t="str">
        <f t="shared" si="12"/>
        <v>ene</v>
      </c>
    </row>
    <row r="291" spans="1:1" x14ac:dyDescent="0.25">
      <c r="A291" s="3" t="str">
        <f t="shared" si="12"/>
        <v>ene</v>
      </c>
    </row>
    <row r="292" spans="1:1" x14ac:dyDescent="0.25">
      <c r="A292" s="3" t="str">
        <f t="shared" si="12"/>
        <v>ene</v>
      </c>
    </row>
    <row r="293" spans="1:1" x14ac:dyDescent="0.25">
      <c r="A293" s="3" t="str">
        <f t="shared" si="12"/>
        <v>ene</v>
      </c>
    </row>
    <row r="294" spans="1:1" x14ac:dyDescent="0.25">
      <c r="A294" s="3" t="str">
        <f t="shared" si="12"/>
        <v>ene</v>
      </c>
    </row>
    <row r="295" spans="1:1" x14ac:dyDescent="0.25">
      <c r="A295" s="3" t="str">
        <f t="shared" si="12"/>
        <v>ene</v>
      </c>
    </row>
    <row r="296" spans="1:1" x14ac:dyDescent="0.25">
      <c r="A296" s="3" t="str">
        <f t="shared" si="12"/>
        <v>ene</v>
      </c>
    </row>
    <row r="297" spans="1:1" x14ac:dyDescent="0.25">
      <c r="A297" s="3" t="str">
        <f t="shared" si="12"/>
        <v>ene</v>
      </c>
    </row>
    <row r="298" spans="1:1" x14ac:dyDescent="0.25">
      <c r="A298" s="3" t="str">
        <f t="shared" si="12"/>
        <v>ene</v>
      </c>
    </row>
    <row r="299" spans="1:1" x14ac:dyDescent="0.25">
      <c r="A299" s="3" t="str">
        <f t="shared" si="12"/>
        <v>ene</v>
      </c>
    </row>
    <row r="300" spans="1:1" x14ac:dyDescent="0.25">
      <c r="A300" s="3" t="str">
        <f t="shared" si="12"/>
        <v>ene</v>
      </c>
    </row>
    <row r="301" spans="1:1" x14ac:dyDescent="0.25">
      <c r="A301" s="3" t="str">
        <f t="shared" si="12"/>
        <v>ene</v>
      </c>
    </row>
    <row r="302" spans="1:1" x14ac:dyDescent="0.25">
      <c r="A302" s="3" t="str">
        <f t="shared" si="12"/>
        <v>ene</v>
      </c>
    </row>
    <row r="303" spans="1:1" x14ac:dyDescent="0.25">
      <c r="A303" s="3" t="str">
        <f t="shared" si="12"/>
        <v>ene</v>
      </c>
    </row>
    <row r="304" spans="1:1" x14ac:dyDescent="0.25">
      <c r="A304" s="3" t="str">
        <f t="shared" si="12"/>
        <v>ene</v>
      </c>
    </row>
    <row r="305" spans="1:1" x14ac:dyDescent="0.25">
      <c r="A305" s="3" t="str">
        <f t="shared" si="12"/>
        <v>ene</v>
      </c>
    </row>
    <row r="306" spans="1:1" x14ac:dyDescent="0.25">
      <c r="A306" s="3" t="str">
        <f t="shared" si="12"/>
        <v>ene</v>
      </c>
    </row>
    <row r="307" spans="1:1" x14ac:dyDescent="0.25">
      <c r="A307" s="3" t="str">
        <f t="shared" si="12"/>
        <v>ene</v>
      </c>
    </row>
    <row r="308" spans="1:1" x14ac:dyDescent="0.25">
      <c r="A308" s="3" t="str">
        <f t="shared" si="12"/>
        <v>ene</v>
      </c>
    </row>
    <row r="309" spans="1:1" x14ac:dyDescent="0.25">
      <c r="A309" s="3" t="str">
        <f t="shared" si="12"/>
        <v>ene</v>
      </c>
    </row>
    <row r="310" spans="1:1" x14ac:dyDescent="0.25">
      <c r="A310" s="3" t="str">
        <f t="shared" si="12"/>
        <v>ene</v>
      </c>
    </row>
    <row r="311" spans="1:1" x14ac:dyDescent="0.25">
      <c r="A311" s="3" t="str">
        <f t="shared" si="12"/>
        <v>ene</v>
      </c>
    </row>
    <row r="312" spans="1:1" x14ac:dyDescent="0.25">
      <c r="A312" s="3" t="str">
        <f t="shared" si="12"/>
        <v>ene</v>
      </c>
    </row>
    <row r="313" spans="1:1" x14ac:dyDescent="0.25">
      <c r="A313" s="3" t="str">
        <f t="shared" si="12"/>
        <v>ene</v>
      </c>
    </row>
    <row r="314" spans="1:1" x14ac:dyDescent="0.25">
      <c r="A314" s="3" t="str">
        <f t="shared" si="12"/>
        <v>ene</v>
      </c>
    </row>
    <row r="315" spans="1:1" x14ac:dyDescent="0.25">
      <c r="A315" s="3" t="str">
        <f t="shared" si="12"/>
        <v>ene</v>
      </c>
    </row>
    <row r="316" spans="1:1" x14ac:dyDescent="0.25">
      <c r="A316" s="3" t="str">
        <f t="shared" si="12"/>
        <v>ene</v>
      </c>
    </row>
    <row r="317" spans="1:1" x14ac:dyDescent="0.25">
      <c r="A317" s="3" t="str">
        <f t="shared" si="12"/>
        <v>ene</v>
      </c>
    </row>
    <row r="318" spans="1:1" x14ac:dyDescent="0.25">
      <c r="A318" s="3" t="str">
        <f t="shared" si="12"/>
        <v>ene</v>
      </c>
    </row>
    <row r="319" spans="1:1" x14ac:dyDescent="0.25">
      <c r="A319" s="3" t="str">
        <f t="shared" si="12"/>
        <v>ene</v>
      </c>
    </row>
    <row r="320" spans="1:1" x14ac:dyDescent="0.25">
      <c r="A320" s="3" t="str">
        <f t="shared" si="12"/>
        <v>ene</v>
      </c>
    </row>
    <row r="321" spans="1:1" x14ac:dyDescent="0.25">
      <c r="A321" s="3" t="str">
        <f t="shared" si="12"/>
        <v>ene</v>
      </c>
    </row>
    <row r="322" spans="1:1" x14ac:dyDescent="0.25">
      <c r="A322" s="3" t="str">
        <f t="shared" si="12"/>
        <v>ene</v>
      </c>
    </row>
    <row r="323" spans="1:1" x14ac:dyDescent="0.25">
      <c r="A323" s="3" t="str">
        <f t="shared" si="12"/>
        <v>ene</v>
      </c>
    </row>
    <row r="324" spans="1:1" x14ac:dyDescent="0.25">
      <c r="A324" s="3" t="str">
        <f t="shared" si="12"/>
        <v>ene</v>
      </c>
    </row>
    <row r="325" spans="1:1" x14ac:dyDescent="0.25">
      <c r="A325" s="3" t="str">
        <f t="shared" si="12"/>
        <v>ene</v>
      </c>
    </row>
    <row r="326" spans="1:1" x14ac:dyDescent="0.25">
      <c r="A326" s="3" t="str">
        <f t="shared" ref="A326:A389" si="13">TEXT($D326,"mmm")</f>
        <v>ene</v>
      </c>
    </row>
    <row r="327" spans="1:1" x14ac:dyDescent="0.25">
      <c r="A327" s="3" t="str">
        <f t="shared" si="13"/>
        <v>ene</v>
      </c>
    </row>
    <row r="328" spans="1:1" x14ac:dyDescent="0.25">
      <c r="A328" s="3" t="str">
        <f t="shared" si="13"/>
        <v>ene</v>
      </c>
    </row>
    <row r="329" spans="1:1" x14ac:dyDescent="0.25">
      <c r="A329" s="3" t="str">
        <f t="shared" si="13"/>
        <v>ene</v>
      </c>
    </row>
    <row r="330" spans="1:1" x14ac:dyDescent="0.25">
      <c r="A330" s="3" t="str">
        <f t="shared" si="13"/>
        <v>ene</v>
      </c>
    </row>
    <row r="331" spans="1:1" x14ac:dyDescent="0.25">
      <c r="A331" s="3" t="str">
        <f t="shared" si="13"/>
        <v>ene</v>
      </c>
    </row>
    <row r="332" spans="1:1" x14ac:dyDescent="0.25">
      <c r="A332" s="3" t="str">
        <f t="shared" si="13"/>
        <v>ene</v>
      </c>
    </row>
    <row r="333" spans="1:1" x14ac:dyDescent="0.25">
      <c r="A333" s="3" t="str">
        <f t="shared" si="13"/>
        <v>ene</v>
      </c>
    </row>
    <row r="334" spans="1:1" x14ac:dyDescent="0.25">
      <c r="A334" s="3" t="str">
        <f t="shared" si="13"/>
        <v>ene</v>
      </c>
    </row>
    <row r="335" spans="1:1" x14ac:dyDescent="0.25">
      <c r="A335" s="3" t="str">
        <f t="shared" si="13"/>
        <v>ene</v>
      </c>
    </row>
    <row r="336" spans="1:1" x14ac:dyDescent="0.25">
      <c r="A336" s="3" t="str">
        <f t="shared" si="13"/>
        <v>ene</v>
      </c>
    </row>
    <row r="337" spans="1:1" x14ac:dyDescent="0.25">
      <c r="A337" s="3" t="str">
        <f t="shared" si="13"/>
        <v>ene</v>
      </c>
    </row>
    <row r="338" spans="1:1" x14ac:dyDescent="0.25">
      <c r="A338" s="3" t="str">
        <f t="shared" si="13"/>
        <v>ene</v>
      </c>
    </row>
    <row r="339" spans="1:1" x14ac:dyDescent="0.25">
      <c r="A339" s="3" t="str">
        <f t="shared" si="13"/>
        <v>ene</v>
      </c>
    </row>
    <row r="340" spans="1:1" x14ac:dyDescent="0.25">
      <c r="A340" s="3" t="str">
        <f t="shared" si="13"/>
        <v>ene</v>
      </c>
    </row>
    <row r="341" spans="1:1" x14ac:dyDescent="0.25">
      <c r="A341" s="3" t="str">
        <f t="shared" si="13"/>
        <v>ene</v>
      </c>
    </row>
    <row r="342" spans="1:1" x14ac:dyDescent="0.25">
      <c r="A342" s="3" t="str">
        <f t="shared" si="13"/>
        <v>ene</v>
      </c>
    </row>
    <row r="343" spans="1:1" x14ac:dyDescent="0.25">
      <c r="A343" s="3" t="str">
        <f t="shared" si="13"/>
        <v>ene</v>
      </c>
    </row>
    <row r="344" spans="1:1" x14ac:dyDescent="0.25">
      <c r="A344" s="3" t="str">
        <f t="shared" si="13"/>
        <v>ene</v>
      </c>
    </row>
    <row r="345" spans="1:1" x14ac:dyDescent="0.25">
      <c r="A345" s="3" t="str">
        <f t="shared" si="13"/>
        <v>ene</v>
      </c>
    </row>
    <row r="346" spans="1:1" x14ac:dyDescent="0.25">
      <c r="A346" s="3" t="str">
        <f t="shared" si="13"/>
        <v>ene</v>
      </c>
    </row>
    <row r="347" spans="1:1" x14ac:dyDescent="0.25">
      <c r="A347" s="3" t="str">
        <f t="shared" si="13"/>
        <v>ene</v>
      </c>
    </row>
    <row r="348" spans="1:1" x14ac:dyDescent="0.25">
      <c r="A348" s="3" t="str">
        <f t="shared" si="13"/>
        <v>ene</v>
      </c>
    </row>
    <row r="349" spans="1:1" x14ac:dyDescent="0.25">
      <c r="A349" s="3" t="str">
        <f t="shared" si="13"/>
        <v>ene</v>
      </c>
    </row>
    <row r="350" spans="1:1" x14ac:dyDescent="0.25">
      <c r="A350" s="3" t="str">
        <f t="shared" si="13"/>
        <v>ene</v>
      </c>
    </row>
    <row r="351" spans="1:1" x14ac:dyDescent="0.25">
      <c r="A351" s="3" t="str">
        <f t="shared" si="13"/>
        <v>ene</v>
      </c>
    </row>
    <row r="352" spans="1:1" x14ac:dyDescent="0.25">
      <c r="A352" s="3" t="str">
        <f t="shared" si="13"/>
        <v>ene</v>
      </c>
    </row>
    <row r="353" spans="1:1" x14ac:dyDescent="0.25">
      <c r="A353" s="3" t="str">
        <f t="shared" si="13"/>
        <v>ene</v>
      </c>
    </row>
    <row r="354" spans="1:1" x14ac:dyDescent="0.25">
      <c r="A354" s="3" t="str">
        <f t="shared" si="13"/>
        <v>ene</v>
      </c>
    </row>
    <row r="355" spans="1:1" x14ac:dyDescent="0.25">
      <c r="A355" s="3" t="str">
        <f t="shared" si="13"/>
        <v>ene</v>
      </c>
    </row>
    <row r="356" spans="1:1" x14ac:dyDescent="0.25">
      <c r="A356" s="3" t="str">
        <f t="shared" si="13"/>
        <v>ene</v>
      </c>
    </row>
    <row r="357" spans="1:1" x14ac:dyDescent="0.25">
      <c r="A357" s="3" t="str">
        <f t="shared" si="13"/>
        <v>ene</v>
      </c>
    </row>
    <row r="358" spans="1:1" x14ac:dyDescent="0.25">
      <c r="A358" s="3" t="str">
        <f t="shared" si="13"/>
        <v>ene</v>
      </c>
    </row>
    <row r="359" spans="1:1" x14ac:dyDescent="0.25">
      <c r="A359" s="3" t="str">
        <f t="shared" si="13"/>
        <v>ene</v>
      </c>
    </row>
    <row r="360" spans="1:1" x14ac:dyDescent="0.25">
      <c r="A360" s="3" t="str">
        <f t="shared" si="13"/>
        <v>ene</v>
      </c>
    </row>
    <row r="361" spans="1:1" x14ac:dyDescent="0.25">
      <c r="A361" s="3" t="str">
        <f t="shared" si="13"/>
        <v>ene</v>
      </c>
    </row>
    <row r="362" spans="1:1" x14ac:dyDescent="0.25">
      <c r="A362" s="3" t="str">
        <f t="shared" si="13"/>
        <v>ene</v>
      </c>
    </row>
    <row r="363" spans="1:1" x14ac:dyDescent="0.25">
      <c r="A363" s="3" t="str">
        <f t="shared" si="13"/>
        <v>ene</v>
      </c>
    </row>
    <row r="364" spans="1:1" x14ac:dyDescent="0.25">
      <c r="A364" s="3" t="str">
        <f t="shared" si="13"/>
        <v>ene</v>
      </c>
    </row>
    <row r="365" spans="1:1" x14ac:dyDescent="0.25">
      <c r="A365" s="3" t="str">
        <f t="shared" si="13"/>
        <v>ene</v>
      </c>
    </row>
    <row r="366" spans="1:1" x14ac:dyDescent="0.25">
      <c r="A366" s="3" t="str">
        <f t="shared" si="13"/>
        <v>ene</v>
      </c>
    </row>
    <row r="367" spans="1:1" x14ac:dyDescent="0.25">
      <c r="A367" s="3" t="str">
        <f t="shared" si="13"/>
        <v>ene</v>
      </c>
    </row>
    <row r="368" spans="1:1" x14ac:dyDescent="0.25">
      <c r="A368" s="3" t="str">
        <f t="shared" si="13"/>
        <v>ene</v>
      </c>
    </row>
    <row r="369" spans="1:1" x14ac:dyDescent="0.25">
      <c r="A369" s="3" t="str">
        <f t="shared" si="13"/>
        <v>ene</v>
      </c>
    </row>
    <row r="370" spans="1:1" x14ac:dyDescent="0.25">
      <c r="A370" s="3" t="str">
        <f t="shared" si="13"/>
        <v>ene</v>
      </c>
    </row>
    <row r="371" spans="1:1" x14ac:dyDescent="0.25">
      <c r="A371" s="3" t="str">
        <f t="shared" si="13"/>
        <v>ene</v>
      </c>
    </row>
    <row r="372" spans="1:1" x14ac:dyDescent="0.25">
      <c r="A372" s="3" t="str">
        <f t="shared" si="13"/>
        <v>ene</v>
      </c>
    </row>
    <row r="373" spans="1:1" x14ac:dyDescent="0.25">
      <c r="A373" s="3" t="str">
        <f t="shared" si="13"/>
        <v>ene</v>
      </c>
    </row>
    <row r="374" spans="1:1" x14ac:dyDescent="0.25">
      <c r="A374" s="3" t="str">
        <f t="shared" si="13"/>
        <v>ene</v>
      </c>
    </row>
    <row r="375" spans="1:1" x14ac:dyDescent="0.25">
      <c r="A375" s="3" t="str">
        <f t="shared" si="13"/>
        <v>ene</v>
      </c>
    </row>
    <row r="376" spans="1:1" x14ac:dyDescent="0.25">
      <c r="A376" s="3" t="str">
        <f t="shared" si="13"/>
        <v>ene</v>
      </c>
    </row>
    <row r="377" spans="1:1" x14ac:dyDescent="0.25">
      <c r="A377" s="3" t="str">
        <f t="shared" si="13"/>
        <v>ene</v>
      </c>
    </row>
    <row r="378" spans="1:1" x14ac:dyDescent="0.25">
      <c r="A378" s="3" t="str">
        <f t="shared" si="13"/>
        <v>ene</v>
      </c>
    </row>
    <row r="379" spans="1:1" x14ac:dyDescent="0.25">
      <c r="A379" s="3" t="str">
        <f t="shared" si="13"/>
        <v>ene</v>
      </c>
    </row>
    <row r="380" spans="1:1" x14ac:dyDescent="0.25">
      <c r="A380" s="3" t="str">
        <f t="shared" si="13"/>
        <v>ene</v>
      </c>
    </row>
    <row r="381" spans="1:1" x14ac:dyDescent="0.25">
      <c r="A381" s="3" t="str">
        <f t="shared" si="13"/>
        <v>ene</v>
      </c>
    </row>
    <row r="382" spans="1:1" x14ac:dyDescent="0.25">
      <c r="A382" s="3" t="str">
        <f t="shared" si="13"/>
        <v>ene</v>
      </c>
    </row>
    <row r="383" spans="1:1" x14ac:dyDescent="0.25">
      <c r="A383" s="3" t="str">
        <f t="shared" si="13"/>
        <v>ene</v>
      </c>
    </row>
    <row r="384" spans="1:1" x14ac:dyDescent="0.25">
      <c r="A384" s="3" t="str">
        <f t="shared" si="13"/>
        <v>ene</v>
      </c>
    </row>
    <row r="385" spans="1:1" x14ac:dyDescent="0.25">
      <c r="A385" s="3" t="str">
        <f t="shared" si="13"/>
        <v>ene</v>
      </c>
    </row>
    <row r="386" spans="1:1" x14ac:dyDescent="0.25">
      <c r="A386" s="3" t="str">
        <f t="shared" si="13"/>
        <v>ene</v>
      </c>
    </row>
    <row r="387" spans="1:1" x14ac:dyDescent="0.25">
      <c r="A387" s="3" t="str">
        <f t="shared" si="13"/>
        <v>ene</v>
      </c>
    </row>
    <row r="388" spans="1:1" x14ac:dyDescent="0.25">
      <c r="A388" s="3" t="str">
        <f t="shared" si="13"/>
        <v>ene</v>
      </c>
    </row>
    <row r="389" spans="1:1" x14ac:dyDescent="0.25">
      <c r="A389" s="3" t="str">
        <f t="shared" si="13"/>
        <v>ene</v>
      </c>
    </row>
    <row r="390" spans="1:1" x14ac:dyDescent="0.25">
      <c r="A390" s="3" t="str">
        <f t="shared" ref="A390:A453" si="14">TEXT($D390,"mmm")</f>
        <v>ene</v>
      </c>
    </row>
    <row r="391" spans="1:1" x14ac:dyDescent="0.25">
      <c r="A391" s="3" t="str">
        <f t="shared" si="14"/>
        <v>ene</v>
      </c>
    </row>
    <row r="392" spans="1:1" x14ac:dyDescent="0.25">
      <c r="A392" s="3" t="str">
        <f t="shared" si="14"/>
        <v>ene</v>
      </c>
    </row>
    <row r="393" spans="1:1" x14ac:dyDescent="0.25">
      <c r="A393" s="3" t="str">
        <f t="shared" si="14"/>
        <v>ene</v>
      </c>
    </row>
    <row r="394" spans="1:1" x14ac:dyDescent="0.25">
      <c r="A394" s="3" t="str">
        <f t="shared" si="14"/>
        <v>ene</v>
      </c>
    </row>
    <row r="395" spans="1:1" x14ac:dyDescent="0.25">
      <c r="A395" s="3" t="str">
        <f t="shared" si="14"/>
        <v>ene</v>
      </c>
    </row>
    <row r="396" spans="1:1" x14ac:dyDescent="0.25">
      <c r="A396" s="3" t="str">
        <f t="shared" si="14"/>
        <v>ene</v>
      </c>
    </row>
    <row r="397" spans="1:1" x14ac:dyDescent="0.25">
      <c r="A397" s="3" t="str">
        <f t="shared" si="14"/>
        <v>ene</v>
      </c>
    </row>
    <row r="398" spans="1:1" x14ac:dyDescent="0.25">
      <c r="A398" s="3" t="str">
        <f t="shared" si="14"/>
        <v>ene</v>
      </c>
    </row>
    <row r="399" spans="1:1" x14ac:dyDescent="0.25">
      <c r="A399" s="3" t="str">
        <f t="shared" si="14"/>
        <v>ene</v>
      </c>
    </row>
    <row r="400" spans="1:1" x14ac:dyDescent="0.25">
      <c r="A400" s="3" t="str">
        <f t="shared" si="14"/>
        <v>ene</v>
      </c>
    </row>
    <row r="401" spans="1:1" x14ac:dyDescent="0.25">
      <c r="A401" s="3" t="str">
        <f t="shared" si="14"/>
        <v>ene</v>
      </c>
    </row>
    <row r="402" spans="1:1" x14ac:dyDescent="0.25">
      <c r="A402" s="3" t="str">
        <f t="shared" si="14"/>
        <v>ene</v>
      </c>
    </row>
    <row r="403" spans="1:1" x14ac:dyDescent="0.25">
      <c r="A403" s="3" t="str">
        <f t="shared" si="14"/>
        <v>ene</v>
      </c>
    </row>
    <row r="404" spans="1:1" x14ac:dyDescent="0.25">
      <c r="A404" s="3" t="str">
        <f t="shared" si="14"/>
        <v>ene</v>
      </c>
    </row>
    <row r="405" spans="1:1" x14ac:dyDescent="0.25">
      <c r="A405" s="3" t="str">
        <f t="shared" si="14"/>
        <v>ene</v>
      </c>
    </row>
    <row r="406" spans="1:1" x14ac:dyDescent="0.25">
      <c r="A406" s="3" t="str">
        <f t="shared" si="14"/>
        <v>ene</v>
      </c>
    </row>
    <row r="407" spans="1:1" x14ac:dyDescent="0.25">
      <c r="A407" s="3" t="str">
        <f t="shared" si="14"/>
        <v>ene</v>
      </c>
    </row>
    <row r="408" spans="1:1" x14ac:dyDescent="0.25">
      <c r="A408" s="3" t="str">
        <f t="shared" si="14"/>
        <v>ene</v>
      </c>
    </row>
    <row r="409" spans="1:1" x14ac:dyDescent="0.25">
      <c r="A409" s="3" t="str">
        <f t="shared" si="14"/>
        <v>ene</v>
      </c>
    </row>
    <row r="410" spans="1:1" x14ac:dyDescent="0.25">
      <c r="A410" s="3" t="str">
        <f t="shared" si="14"/>
        <v>ene</v>
      </c>
    </row>
    <row r="411" spans="1:1" x14ac:dyDescent="0.25">
      <c r="A411" s="3" t="str">
        <f t="shared" si="14"/>
        <v>ene</v>
      </c>
    </row>
    <row r="412" spans="1:1" x14ac:dyDescent="0.25">
      <c r="A412" s="3" t="str">
        <f t="shared" si="14"/>
        <v>ene</v>
      </c>
    </row>
    <row r="413" spans="1:1" x14ac:dyDescent="0.25">
      <c r="A413" s="3" t="str">
        <f t="shared" si="14"/>
        <v>ene</v>
      </c>
    </row>
    <row r="414" spans="1:1" x14ac:dyDescent="0.25">
      <c r="A414" s="3" t="str">
        <f t="shared" si="14"/>
        <v>ene</v>
      </c>
    </row>
    <row r="415" spans="1:1" x14ac:dyDescent="0.25">
      <c r="A415" s="3" t="str">
        <f t="shared" si="14"/>
        <v>ene</v>
      </c>
    </row>
    <row r="416" spans="1:1" x14ac:dyDescent="0.25">
      <c r="A416" s="3" t="str">
        <f t="shared" si="14"/>
        <v>ene</v>
      </c>
    </row>
    <row r="417" spans="1:1" x14ac:dyDescent="0.25">
      <c r="A417" s="3" t="str">
        <f t="shared" si="14"/>
        <v>ene</v>
      </c>
    </row>
    <row r="418" spans="1:1" x14ac:dyDescent="0.25">
      <c r="A418" s="3" t="str">
        <f t="shared" si="14"/>
        <v>ene</v>
      </c>
    </row>
    <row r="419" spans="1:1" x14ac:dyDescent="0.25">
      <c r="A419" s="3" t="str">
        <f t="shared" si="14"/>
        <v>ene</v>
      </c>
    </row>
    <row r="420" spans="1:1" x14ac:dyDescent="0.25">
      <c r="A420" s="3" t="str">
        <f t="shared" si="14"/>
        <v>ene</v>
      </c>
    </row>
    <row r="421" spans="1:1" x14ac:dyDescent="0.25">
      <c r="A421" s="3" t="str">
        <f t="shared" si="14"/>
        <v>ene</v>
      </c>
    </row>
    <row r="422" spans="1:1" x14ac:dyDescent="0.25">
      <c r="A422" s="3" t="str">
        <f t="shared" si="14"/>
        <v>ene</v>
      </c>
    </row>
    <row r="423" spans="1:1" x14ac:dyDescent="0.25">
      <c r="A423" s="3" t="str">
        <f t="shared" si="14"/>
        <v>ene</v>
      </c>
    </row>
    <row r="424" spans="1:1" x14ac:dyDescent="0.25">
      <c r="A424" s="3" t="str">
        <f t="shared" si="14"/>
        <v>ene</v>
      </c>
    </row>
    <row r="425" spans="1:1" x14ac:dyDescent="0.25">
      <c r="A425" s="3" t="str">
        <f t="shared" si="14"/>
        <v>ene</v>
      </c>
    </row>
    <row r="426" spans="1:1" x14ac:dyDescent="0.25">
      <c r="A426" s="3" t="str">
        <f t="shared" si="14"/>
        <v>ene</v>
      </c>
    </row>
    <row r="427" spans="1:1" x14ac:dyDescent="0.25">
      <c r="A427" s="3" t="str">
        <f t="shared" si="14"/>
        <v>ene</v>
      </c>
    </row>
    <row r="428" spans="1:1" x14ac:dyDescent="0.25">
      <c r="A428" s="3" t="str">
        <f t="shared" si="14"/>
        <v>ene</v>
      </c>
    </row>
    <row r="429" spans="1:1" x14ac:dyDescent="0.25">
      <c r="A429" s="3" t="str">
        <f t="shared" si="14"/>
        <v>ene</v>
      </c>
    </row>
    <row r="430" spans="1:1" x14ac:dyDescent="0.25">
      <c r="A430" s="3" t="str">
        <f t="shared" si="14"/>
        <v>ene</v>
      </c>
    </row>
    <row r="431" spans="1:1" x14ac:dyDescent="0.25">
      <c r="A431" s="3" t="str">
        <f t="shared" si="14"/>
        <v>ene</v>
      </c>
    </row>
    <row r="432" spans="1:1" x14ac:dyDescent="0.25">
      <c r="A432" s="3" t="str">
        <f t="shared" si="14"/>
        <v>ene</v>
      </c>
    </row>
    <row r="433" spans="1:1" x14ac:dyDescent="0.25">
      <c r="A433" s="3" t="str">
        <f t="shared" si="14"/>
        <v>ene</v>
      </c>
    </row>
    <row r="434" spans="1:1" x14ac:dyDescent="0.25">
      <c r="A434" s="3" t="str">
        <f t="shared" si="14"/>
        <v>ene</v>
      </c>
    </row>
    <row r="435" spans="1:1" x14ac:dyDescent="0.25">
      <c r="A435" s="3" t="str">
        <f t="shared" si="14"/>
        <v>ene</v>
      </c>
    </row>
    <row r="436" spans="1:1" x14ac:dyDescent="0.25">
      <c r="A436" s="3" t="str">
        <f t="shared" si="14"/>
        <v>ene</v>
      </c>
    </row>
    <row r="437" spans="1:1" x14ac:dyDescent="0.25">
      <c r="A437" s="3" t="str">
        <f t="shared" si="14"/>
        <v>ene</v>
      </c>
    </row>
    <row r="438" spans="1:1" x14ac:dyDescent="0.25">
      <c r="A438" s="3" t="str">
        <f t="shared" si="14"/>
        <v>ene</v>
      </c>
    </row>
    <row r="439" spans="1:1" x14ac:dyDescent="0.25">
      <c r="A439" s="3" t="str">
        <f t="shared" si="14"/>
        <v>ene</v>
      </c>
    </row>
    <row r="440" spans="1:1" x14ac:dyDescent="0.25">
      <c r="A440" s="3" t="str">
        <f t="shared" si="14"/>
        <v>ene</v>
      </c>
    </row>
    <row r="441" spans="1:1" x14ac:dyDescent="0.25">
      <c r="A441" s="3" t="str">
        <f t="shared" si="14"/>
        <v>ene</v>
      </c>
    </row>
    <row r="442" spans="1:1" x14ac:dyDescent="0.25">
      <c r="A442" s="3" t="str">
        <f t="shared" si="14"/>
        <v>ene</v>
      </c>
    </row>
    <row r="443" spans="1:1" x14ac:dyDescent="0.25">
      <c r="A443" s="3" t="str">
        <f t="shared" si="14"/>
        <v>ene</v>
      </c>
    </row>
    <row r="444" spans="1:1" x14ac:dyDescent="0.25">
      <c r="A444" s="3" t="str">
        <f t="shared" si="14"/>
        <v>ene</v>
      </c>
    </row>
    <row r="445" spans="1:1" x14ac:dyDescent="0.25">
      <c r="A445" s="3" t="str">
        <f t="shared" si="14"/>
        <v>ene</v>
      </c>
    </row>
    <row r="446" spans="1:1" x14ac:dyDescent="0.25">
      <c r="A446" s="3" t="str">
        <f t="shared" si="14"/>
        <v>ene</v>
      </c>
    </row>
    <row r="447" spans="1:1" x14ac:dyDescent="0.25">
      <c r="A447" s="3" t="str">
        <f t="shared" si="14"/>
        <v>ene</v>
      </c>
    </row>
    <row r="448" spans="1:1" x14ac:dyDescent="0.25">
      <c r="A448" s="3" t="str">
        <f t="shared" si="14"/>
        <v>ene</v>
      </c>
    </row>
    <row r="449" spans="1:1" x14ac:dyDescent="0.25">
      <c r="A449" s="3" t="str">
        <f t="shared" si="14"/>
        <v>ene</v>
      </c>
    </row>
    <row r="450" spans="1:1" x14ac:dyDescent="0.25">
      <c r="A450" s="3" t="str">
        <f t="shared" si="14"/>
        <v>ene</v>
      </c>
    </row>
    <row r="451" spans="1:1" x14ac:dyDescent="0.25">
      <c r="A451" s="3" t="str">
        <f t="shared" si="14"/>
        <v>ene</v>
      </c>
    </row>
    <row r="452" spans="1:1" x14ac:dyDescent="0.25">
      <c r="A452" s="3" t="str">
        <f t="shared" si="14"/>
        <v>ene</v>
      </c>
    </row>
    <row r="453" spans="1:1" x14ac:dyDescent="0.25">
      <c r="A453" s="3" t="str">
        <f t="shared" si="14"/>
        <v>ene</v>
      </c>
    </row>
    <row r="454" spans="1:1" x14ac:dyDescent="0.25">
      <c r="A454" s="3" t="str">
        <f t="shared" ref="A454:A457" si="15">TEXT($D454,"mmm")</f>
        <v>ene</v>
      </c>
    </row>
    <row r="455" spans="1:1" x14ac:dyDescent="0.25">
      <c r="A455" s="3" t="str">
        <f t="shared" si="15"/>
        <v>ene</v>
      </c>
    </row>
    <row r="456" spans="1:1" x14ac:dyDescent="0.25">
      <c r="A456" s="3" t="str">
        <f t="shared" si="15"/>
        <v>ene</v>
      </c>
    </row>
    <row r="457" spans="1:1" x14ac:dyDescent="0.25">
      <c r="A457" s="3" t="str">
        <f t="shared" si="15"/>
        <v>ene</v>
      </c>
    </row>
  </sheetData>
  <mergeCells count="2">
    <mergeCell ref="B1:H1"/>
    <mergeCell ref="J1:P1"/>
  </mergeCells>
  <conditionalFormatting sqref="J85:J91">
    <cfRule type="expression" dxfId="83" priority="28">
      <formula>AND($E90&lt;&gt;"",TODAY()-$E90&gt;30)</formula>
    </cfRule>
    <cfRule type="expression" dxfId="82" priority="29">
      <formula>AND($E90&lt;&gt;"",TODAY()-$E90&gt;15,TODAY()-$E90&lt;=30)</formula>
    </cfRule>
    <cfRule type="expression" dxfId="81" priority="30">
      <formula>AND($E90&lt;&gt;"",TODAY()-$E90&lt;=15)</formula>
    </cfRule>
  </conditionalFormatting>
  <conditionalFormatting sqref="J92:J96">
    <cfRule type="expression" dxfId="80" priority="37">
      <formula>AND($E99&lt;&gt;"",TODAY()-$E99&gt;30)</formula>
    </cfRule>
    <cfRule type="expression" dxfId="79" priority="38">
      <formula>AND($E99&lt;&gt;"",TODAY()-$E99&gt;15,TODAY()-$E99&lt;=30)</formula>
    </cfRule>
    <cfRule type="expression" dxfId="78" priority="39">
      <formula>AND($E99&lt;&gt;"",TODAY()-$E99&lt;=15)</formula>
    </cfRule>
  </conditionalFormatting>
  <conditionalFormatting sqref="J97:J106">
    <cfRule type="expression" dxfId="77" priority="43">
      <formula>AND($E106&lt;&gt;"",TODAY()-$E106&gt;30)</formula>
    </cfRule>
    <cfRule type="expression" dxfId="76" priority="44">
      <formula>AND($E106&lt;&gt;"",TODAY()-$E106&gt;15,TODAY()-$E106&lt;=30)</formula>
    </cfRule>
    <cfRule type="expression" dxfId="75" priority="45">
      <formula>AND($E106&lt;&gt;"",TODAY()-$E106&lt;=15)</formula>
    </cfRule>
  </conditionalFormatting>
  <conditionalFormatting sqref="J194:J209">
    <cfRule type="expression" dxfId="74" priority="31">
      <formula>AND($E90&lt;&gt;"",TODAY()-$E90&gt;30)</formula>
    </cfRule>
    <cfRule type="expression" dxfId="73" priority="32">
      <formula>AND($E90&lt;&gt;"",TODAY()-$E90&gt;15,TODAY()-$E90&lt;=30)</formula>
    </cfRule>
    <cfRule type="expression" dxfId="72" priority="33">
      <formula>AND($E90&lt;&gt;"",TODAY()-$E90&lt;=15)</formula>
    </cfRule>
  </conditionalFormatting>
  <conditionalFormatting sqref="L3:L254">
    <cfRule type="cellIs" dxfId="71" priority="19" operator="equal">
      <formula>"AL DIA (MENOS 10 DIAS)"</formula>
    </cfRule>
    <cfRule type="cellIs" dxfId="70" priority="20" operator="equal">
      <formula>"POR REALIZAR(ALERTA)"</formula>
    </cfRule>
    <cfRule type="cellIs" dxfId="69" priority="21" operator="equal">
      <formula>"POR REALIAR(ALERTA)"</formula>
    </cfRule>
    <cfRule type="cellIs" dxfId="68" priority="22" operator="equal">
      <formula>"CRITICO(MAS 30 DIAS)"</formula>
    </cfRule>
    <cfRule type="cellIs" dxfId="67" priority="23" operator="equal">
      <formula>"POR REALIZAR (ALERTA)"</formula>
    </cfRule>
    <cfRule type="cellIs" dxfId="66" priority="24" operator="equal">
      <formula>$N$4</formula>
    </cfRule>
    <cfRule type="cellIs" dxfId="65" priority="25" operator="equal">
      <formula>$N$3</formula>
    </cfRule>
    <cfRule type="cellIs" dxfId="64" priority="26" operator="equal">
      <formula>"INVENTARIADO"</formula>
    </cfRule>
    <cfRule type="cellIs" dxfId="63" priority="27" operator="equal">
      <formula>"PENDIENTE"</formula>
    </cfRule>
  </conditionalFormatting>
  <conditionalFormatting sqref="O2:P2">
    <cfRule type="cellIs" dxfId="62" priority="1" operator="equal">
      <formula>"AL DIA (MENOS 10 DIAS)"</formula>
    </cfRule>
    <cfRule type="cellIs" dxfId="61" priority="2" operator="equal">
      <formula>"POR REALIZAR(ALERTA)"</formula>
    </cfRule>
    <cfRule type="cellIs" dxfId="60" priority="3" operator="equal">
      <formula>"POR REALIAR(ALERTA)"</formula>
    </cfRule>
    <cfRule type="cellIs" dxfId="59" priority="4" operator="equal">
      <formula>"CRITICO(MAS 30 DIAS)"</formula>
    </cfRule>
    <cfRule type="cellIs" dxfId="58" priority="5" operator="equal">
      <formula>"POR REALIZAR (ALERTA)"</formula>
    </cfRule>
    <cfRule type="cellIs" dxfId="57" priority="6" operator="equal">
      <formula>$K$4</formula>
    </cfRule>
    <cfRule type="cellIs" dxfId="56" priority="7" operator="equal">
      <formula>$K$3</formula>
    </cfRule>
    <cfRule type="cellIs" dxfId="55" priority="8" operator="equal">
      <formula>"INVENTARIADO"</formula>
    </cfRule>
    <cfRule type="cellIs" dxfId="54" priority="9" operator="equal">
      <formula>"PENDIENTE"</formula>
    </cfRule>
  </conditionalFormatting>
  <dataValidations count="2">
    <dataValidation type="list" allowBlank="1" showInputMessage="1" showErrorMessage="1" sqref="B3:B1048576" xr:uid="{00000000-0002-0000-0200-000000000000}">
      <formula1>$J$3:$J$254</formula1>
    </dataValidation>
    <dataValidation type="list" allowBlank="1" showInputMessage="1" showErrorMessage="1" sqref="G3:G1048576" xr:uid="{00000000-0002-0000-0200-000001000000}">
      <formula1>$Q$2:$Q$4</formula1>
    </dataValidation>
  </dataValidations>
  <pageMargins left="0.7" right="0.7" top="0.75" bottom="0.75" header="0.3" footer="0.3"/>
  <pageSetup paperSize="9" orientation="portrait" horizontalDpi="0" verticalDpi="0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57"/>
  <sheetViews>
    <sheetView tabSelected="1" topLeftCell="B19" workbookViewId="0">
      <selection activeCell="B51" sqref="B51"/>
    </sheetView>
  </sheetViews>
  <sheetFormatPr baseColWidth="10" defaultRowHeight="15" x14ac:dyDescent="0.25"/>
  <cols>
    <col min="1" max="1" width="0" hidden="1" customWidth="1"/>
    <col min="2" max="2" width="24.28515625" style="5" customWidth="1"/>
    <col min="3" max="3" width="17.85546875" style="7" customWidth="1"/>
    <col min="4" max="4" width="22.140625" style="44" bestFit="1" customWidth="1"/>
    <col min="5" max="5" width="22.140625" style="8" customWidth="1"/>
    <col min="6" max="6" width="17.5703125" style="8" customWidth="1"/>
    <col min="7" max="7" width="13.85546875" style="8" bestFit="1" customWidth="1"/>
    <col min="8" max="8" width="16.85546875" style="8" bestFit="1" customWidth="1"/>
    <col min="9" max="9" width="6.5703125" style="22" customWidth="1"/>
    <col min="10" max="10" width="22.140625" style="5" bestFit="1" customWidth="1"/>
    <col min="11" max="11" width="11.85546875" bestFit="1" customWidth="1"/>
    <col min="12" max="12" width="31.42578125" customWidth="1"/>
    <col min="14" max="14" width="17.5703125" bestFit="1" customWidth="1"/>
    <col min="15" max="15" width="24.5703125" bestFit="1" customWidth="1"/>
    <col min="16" max="16" width="27.140625" bestFit="1" customWidth="1"/>
    <col min="17" max="17" width="21.5703125" style="8" bestFit="1" customWidth="1"/>
    <col min="18" max="18" width="20.85546875" bestFit="1" customWidth="1"/>
  </cols>
  <sheetData>
    <row r="1" spans="1:17" ht="28.5" x14ac:dyDescent="0.45">
      <c r="A1" s="32"/>
      <c r="B1" s="50" t="s">
        <v>608</v>
      </c>
      <c r="C1" s="50"/>
      <c r="D1" s="50"/>
      <c r="E1" s="50"/>
      <c r="F1" s="50"/>
      <c r="G1" s="50"/>
      <c r="H1" s="50"/>
      <c r="J1" s="50" t="s">
        <v>609</v>
      </c>
      <c r="K1" s="50"/>
      <c r="L1" s="50"/>
      <c r="M1" s="50"/>
      <c r="N1" s="50"/>
      <c r="O1" s="50"/>
      <c r="P1" s="50"/>
      <c r="Q1" s="33" t="s">
        <v>629</v>
      </c>
    </row>
    <row r="2" spans="1:17" x14ac:dyDescent="0.25">
      <c r="A2" s="23" t="s">
        <v>645</v>
      </c>
      <c r="B2" s="1" t="s">
        <v>0</v>
      </c>
      <c r="C2" s="1" t="s">
        <v>635</v>
      </c>
      <c r="D2" s="13" t="s">
        <v>212</v>
      </c>
      <c r="E2" s="1" t="s">
        <v>214</v>
      </c>
      <c r="F2" s="1" t="s">
        <v>215</v>
      </c>
      <c r="G2" s="1" t="s">
        <v>1</v>
      </c>
      <c r="H2" s="1" t="s">
        <v>213</v>
      </c>
      <c r="J2" s="13" t="s">
        <v>604</v>
      </c>
      <c r="K2" s="13" t="s">
        <v>603</v>
      </c>
      <c r="L2" s="13" t="s">
        <v>602</v>
      </c>
      <c r="N2" s="18" t="s">
        <v>605</v>
      </c>
      <c r="O2" s="6" t="s">
        <v>607</v>
      </c>
      <c r="P2" s="38" t="s">
        <v>606</v>
      </c>
      <c r="Q2" s="37" t="s">
        <v>630</v>
      </c>
    </row>
    <row r="3" spans="1:17" x14ac:dyDescent="0.25">
      <c r="A3" s="3" t="str">
        <f>TEXT($D3,"mmm")</f>
        <v>oct</v>
      </c>
      <c r="B3" s="2" t="s">
        <v>62</v>
      </c>
      <c r="C3" s="3">
        <v>859</v>
      </c>
      <c r="D3" s="17">
        <v>46308</v>
      </c>
      <c r="E3" s="3">
        <v>2</v>
      </c>
      <c r="F3" s="3">
        <v>2</v>
      </c>
      <c r="G3" s="3" t="s">
        <v>631</v>
      </c>
      <c r="H3" s="46">
        <v>46308</v>
      </c>
      <c r="J3" s="2" t="s">
        <v>15</v>
      </c>
      <c r="K3" s="14">
        <f>IFERROR(LOOKUP(2,1/($B$3:$B$1001=J3),$D$3:$D$1001),"")</f>
        <v>46308</v>
      </c>
      <c r="L3" s="3" t="str">
        <f ca="1">IF(OR(K3="",K3=0),"CRITICO(MAS 30 DIAS)",IF(TODAY()-K3&gt;=30,"CRITICO(MAS 30 DIAS)",IF(TODAY()-K3&gt;=15,"POR REALIZAR(ALERTA)","AL DIA (MENOS 10 DIAS)")))</f>
        <v>AL DIA (MENOS 10 DIAS)</v>
      </c>
      <c r="N3" s="21">
        <f ca="1">+COUNTIF(L3:L189,N2)</f>
        <v>48</v>
      </c>
      <c r="O3" s="20">
        <f ca="1">+COUNTIF(L3:L189,O2)</f>
        <v>0</v>
      </c>
      <c r="P3" s="35">
        <f ca="1">+COUNTIF(L3:L189,P2)</f>
        <v>11</v>
      </c>
      <c r="Q3" s="37" t="s">
        <v>631</v>
      </c>
    </row>
    <row r="4" spans="1:17" x14ac:dyDescent="0.25">
      <c r="A4" s="3" t="str">
        <f>TEXT($D4,"mmm")</f>
        <v>oct</v>
      </c>
      <c r="B4" s="2" t="s">
        <v>26</v>
      </c>
      <c r="C4" s="3">
        <v>735</v>
      </c>
      <c r="D4" s="17">
        <v>46308</v>
      </c>
      <c r="E4" s="3">
        <v>4</v>
      </c>
      <c r="F4" s="3">
        <v>1</v>
      </c>
      <c r="G4" s="3" t="s">
        <v>631</v>
      </c>
      <c r="H4" s="46">
        <v>46308</v>
      </c>
      <c r="J4" s="2" t="s">
        <v>16</v>
      </c>
      <c r="K4" s="14">
        <f t="shared" ref="K4:K61" si="0">IFERROR(LOOKUP(2,1/($B$3:$B$1001=J4),$D$3:$D$1001),"")</f>
        <v>46314</v>
      </c>
      <c r="L4" s="3" t="str">
        <f t="shared" ref="L4:L61" ca="1" si="1">IF(OR(K4="",K4=0),"CRITICO(MAS 30 DIAS)",IF(TODAY()-K4&gt;=30,"CRITICO(MAS 30 DIAS)",IF(TODAY()-K4&gt;=15,"POR REALIZAR(ALERTA)","AL DIA (MENOS 10 DIAS)")))</f>
        <v>AL DIA (MENOS 10 DIAS)</v>
      </c>
      <c r="Q4" s="37" t="s">
        <v>632</v>
      </c>
    </row>
    <row r="5" spans="1:17" x14ac:dyDescent="0.25">
      <c r="A5" s="3" t="str">
        <f>TEXT($D5,"mmm")</f>
        <v>oct</v>
      </c>
      <c r="B5" s="2" t="s">
        <v>10</v>
      </c>
      <c r="C5" s="3">
        <v>11135</v>
      </c>
      <c r="D5" s="17">
        <v>46308</v>
      </c>
      <c r="E5" s="3">
        <v>4</v>
      </c>
      <c r="F5" s="3">
        <v>3</v>
      </c>
      <c r="G5" s="3" t="s">
        <v>631</v>
      </c>
      <c r="H5" s="46">
        <v>46308</v>
      </c>
      <c r="J5" s="2" t="s">
        <v>17</v>
      </c>
      <c r="K5" s="14">
        <f t="shared" si="0"/>
        <v>46314</v>
      </c>
      <c r="L5" s="3" t="str">
        <f t="shared" ca="1" si="1"/>
        <v>AL DIA (MENOS 10 DIAS)</v>
      </c>
      <c r="Q5" s="37" t="s">
        <v>633</v>
      </c>
    </row>
    <row r="6" spans="1:17" x14ac:dyDescent="0.25">
      <c r="A6" s="3" t="str">
        <f t="shared" ref="A6:A69" si="2">TEXT($D6,"mmm")</f>
        <v>oct</v>
      </c>
      <c r="B6" s="2" t="s">
        <v>33</v>
      </c>
      <c r="C6" s="3">
        <v>2400</v>
      </c>
      <c r="D6" s="17">
        <v>46308</v>
      </c>
      <c r="E6" s="3">
        <v>0</v>
      </c>
      <c r="F6" s="3">
        <v>0</v>
      </c>
      <c r="G6" s="3" t="s">
        <v>630</v>
      </c>
      <c r="H6" s="46">
        <v>46308</v>
      </c>
      <c r="J6" s="2" t="s">
        <v>18</v>
      </c>
      <c r="K6" s="14">
        <f t="shared" si="0"/>
        <v>46308</v>
      </c>
      <c r="L6" s="3" t="str">
        <f t="shared" ca="1" si="1"/>
        <v>AL DIA (MENOS 10 DIAS)</v>
      </c>
      <c r="Q6" s="37" t="s">
        <v>634</v>
      </c>
    </row>
    <row r="7" spans="1:17" x14ac:dyDescent="0.25">
      <c r="A7" s="3" t="str">
        <f t="shared" si="2"/>
        <v>oct</v>
      </c>
      <c r="B7" s="2" t="s">
        <v>45</v>
      </c>
      <c r="C7" s="3">
        <v>600</v>
      </c>
      <c r="D7" s="17">
        <v>46308</v>
      </c>
      <c r="E7" s="3">
        <v>0</v>
      </c>
      <c r="F7" s="3">
        <v>0</v>
      </c>
      <c r="G7" s="3" t="s">
        <v>630</v>
      </c>
      <c r="H7" s="46">
        <v>46308</v>
      </c>
      <c r="J7" s="2" t="s">
        <v>19</v>
      </c>
      <c r="K7" s="14">
        <f t="shared" si="0"/>
        <v>46314</v>
      </c>
      <c r="L7" s="3" t="str">
        <f t="shared" ca="1" si="1"/>
        <v>AL DIA (MENOS 10 DIAS)</v>
      </c>
    </row>
    <row r="8" spans="1:17" x14ac:dyDescent="0.25">
      <c r="A8" s="3" t="str">
        <f t="shared" si="2"/>
        <v>oct</v>
      </c>
      <c r="B8" s="2" t="s">
        <v>47</v>
      </c>
      <c r="C8" s="3">
        <v>240</v>
      </c>
      <c r="D8" s="17">
        <v>46308</v>
      </c>
      <c r="E8" s="3">
        <v>0</v>
      </c>
      <c r="F8" s="3">
        <v>0</v>
      </c>
      <c r="G8" s="3" t="s">
        <v>630</v>
      </c>
      <c r="H8" s="46">
        <v>46308</v>
      </c>
      <c r="J8" s="2" t="s">
        <v>20</v>
      </c>
      <c r="K8" s="14" t="str">
        <f t="shared" si="0"/>
        <v/>
      </c>
      <c r="L8" s="3" t="str">
        <f t="shared" ca="1" si="1"/>
        <v>CRITICO(MAS 30 DIAS)</v>
      </c>
    </row>
    <row r="9" spans="1:17" x14ac:dyDescent="0.25">
      <c r="A9" s="3" t="str">
        <f t="shared" si="2"/>
        <v>oct</v>
      </c>
      <c r="B9" s="2" t="s">
        <v>41</v>
      </c>
      <c r="C9" s="3">
        <v>20150</v>
      </c>
      <c r="D9" s="17">
        <v>46308</v>
      </c>
      <c r="E9" s="3">
        <v>0</v>
      </c>
      <c r="F9" s="3">
        <v>0</v>
      </c>
      <c r="G9" s="3" t="s">
        <v>630</v>
      </c>
      <c r="H9" s="46">
        <v>46308</v>
      </c>
      <c r="J9" s="2" t="s">
        <v>21</v>
      </c>
      <c r="K9" s="14">
        <f t="shared" si="0"/>
        <v>46308</v>
      </c>
      <c r="L9" s="3" t="str">
        <f t="shared" ca="1" si="1"/>
        <v>AL DIA (MENOS 10 DIAS)</v>
      </c>
    </row>
    <row r="10" spans="1:17" x14ac:dyDescent="0.25">
      <c r="A10" s="3" t="str">
        <f t="shared" si="2"/>
        <v>oct</v>
      </c>
      <c r="B10" s="2" t="s">
        <v>42</v>
      </c>
      <c r="C10" s="3">
        <v>14075</v>
      </c>
      <c r="D10" s="17">
        <v>46308</v>
      </c>
      <c r="E10" s="3">
        <v>0</v>
      </c>
      <c r="F10" s="3">
        <v>0</v>
      </c>
      <c r="G10" s="3" t="s">
        <v>630</v>
      </c>
      <c r="H10" s="46">
        <v>46308</v>
      </c>
      <c r="J10" s="2" t="s">
        <v>22</v>
      </c>
      <c r="K10" s="14" t="str">
        <f t="shared" si="0"/>
        <v/>
      </c>
      <c r="L10" s="3" t="str">
        <f t="shared" ca="1" si="1"/>
        <v>CRITICO(MAS 30 DIAS)</v>
      </c>
    </row>
    <row r="11" spans="1:17" x14ac:dyDescent="0.25">
      <c r="A11" s="3" t="str">
        <f t="shared" si="2"/>
        <v>oct</v>
      </c>
      <c r="B11" s="2" t="s">
        <v>43</v>
      </c>
      <c r="C11" s="3">
        <v>950</v>
      </c>
      <c r="D11" s="17">
        <v>46308</v>
      </c>
      <c r="E11" s="3">
        <v>0</v>
      </c>
      <c r="F11" s="3">
        <v>0</v>
      </c>
      <c r="G11" s="3" t="s">
        <v>630</v>
      </c>
      <c r="H11" s="46">
        <v>46308</v>
      </c>
      <c r="J11" s="2" t="s">
        <v>3</v>
      </c>
      <c r="K11" s="14">
        <f t="shared" si="0"/>
        <v>46308</v>
      </c>
      <c r="L11" s="3" t="str">
        <f t="shared" ca="1" si="1"/>
        <v>AL DIA (MENOS 10 DIAS)</v>
      </c>
    </row>
    <row r="12" spans="1:17" x14ac:dyDescent="0.25">
      <c r="A12" s="3" t="str">
        <f t="shared" si="2"/>
        <v>oct</v>
      </c>
      <c r="B12" s="2" t="s">
        <v>44</v>
      </c>
      <c r="C12" s="3">
        <v>10900</v>
      </c>
      <c r="D12" s="17">
        <v>46308</v>
      </c>
      <c r="E12" s="3">
        <v>0</v>
      </c>
      <c r="F12" s="3">
        <v>0</v>
      </c>
      <c r="G12" s="3" t="s">
        <v>630</v>
      </c>
      <c r="H12" s="46">
        <v>46308</v>
      </c>
      <c r="J12" s="2" t="s">
        <v>4</v>
      </c>
      <c r="K12" s="14" t="str">
        <f t="shared" si="0"/>
        <v/>
      </c>
      <c r="L12" s="3" t="str">
        <f t="shared" ca="1" si="1"/>
        <v>CRITICO(MAS 30 DIAS)</v>
      </c>
    </row>
    <row r="13" spans="1:17" x14ac:dyDescent="0.25">
      <c r="A13" s="3" t="str">
        <f t="shared" si="2"/>
        <v>oct</v>
      </c>
      <c r="B13" s="2" t="s">
        <v>450</v>
      </c>
      <c r="C13" s="3">
        <v>400</v>
      </c>
      <c r="D13" s="17">
        <v>46308</v>
      </c>
      <c r="E13" s="3">
        <v>0</v>
      </c>
      <c r="F13" s="3">
        <v>0</v>
      </c>
      <c r="G13" s="3" t="s">
        <v>630</v>
      </c>
      <c r="H13" s="46">
        <v>46308</v>
      </c>
      <c r="J13" s="2" t="s">
        <v>23</v>
      </c>
      <c r="K13" s="14">
        <f t="shared" si="0"/>
        <v>46314</v>
      </c>
      <c r="L13" s="3" t="str">
        <f t="shared" ca="1" si="1"/>
        <v>AL DIA (MENOS 10 DIAS)</v>
      </c>
    </row>
    <row r="14" spans="1:17" x14ac:dyDescent="0.25">
      <c r="A14" s="3" t="str">
        <f t="shared" si="2"/>
        <v>oct</v>
      </c>
      <c r="B14" s="2" t="s">
        <v>25</v>
      </c>
      <c r="C14" s="3">
        <v>1910</v>
      </c>
      <c r="D14" s="17">
        <v>46308</v>
      </c>
      <c r="E14" s="3">
        <v>0</v>
      </c>
      <c r="F14" s="3">
        <v>0</v>
      </c>
      <c r="G14" s="3" t="s">
        <v>633</v>
      </c>
      <c r="H14" s="46">
        <v>46308</v>
      </c>
      <c r="J14" s="2" t="s">
        <v>5</v>
      </c>
      <c r="K14" s="14" t="str">
        <f t="shared" si="0"/>
        <v/>
      </c>
      <c r="L14" s="3" t="str">
        <f t="shared" ca="1" si="1"/>
        <v>CRITICO(MAS 30 DIAS)</v>
      </c>
    </row>
    <row r="15" spans="1:17" x14ac:dyDescent="0.25">
      <c r="A15" s="3" t="str">
        <f t="shared" si="2"/>
        <v>oct</v>
      </c>
      <c r="B15" s="2" t="s">
        <v>3</v>
      </c>
      <c r="C15" s="3">
        <v>25060</v>
      </c>
      <c r="D15" s="17">
        <v>46308</v>
      </c>
      <c r="E15" s="3">
        <v>0</v>
      </c>
      <c r="F15" s="3">
        <v>0</v>
      </c>
      <c r="G15" s="3" t="s">
        <v>630</v>
      </c>
      <c r="H15" s="46">
        <v>46308</v>
      </c>
      <c r="J15" s="2" t="s">
        <v>24</v>
      </c>
      <c r="K15" s="14">
        <f t="shared" si="0"/>
        <v>46308</v>
      </c>
      <c r="L15" s="3" t="str">
        <f t="shared" ca="1" si="1"/>
        <v>AL DIA (MENOS 10 DIAS)</v>
      </c>
    </row>
    <row r="16" spans="1:17" x14ac:dyDescent="0.25">
      <c r="A16" s="3" t="str">
        <f t="shared" si="2"/>
        <v>oct</v>
      </c>
      <c r="B16" s="2" t="s">
        <v>46</v>
      </c>
      <c r="C16" s="3">
        <v>2370</v>
      </c>
      <c r="D16" s="17">
        <v>46308</v>
      </c>
      <c r="E16" s="3">
        <v>0</v>
      </c>
      <c r="F16" s="3">
        <v>0</v>
      </c>
      <c r="G16" s="3" t="s">
        <v>630</v>
      </c>
      <c r="H16" s="46">
        <v>46308</v>
      </c>
      <c r="J16" s="2" t="s">
        <v>25</v>
      </c>
      <c r="K16" s="14">
        <f t="shared" si="0"/>
        <v>46308</v>
      </c>
      <c r="L16" s="3" t="str">
        <f t="shared" ca="1" si="1"/>
        <v>AL DIA (MENOS 10 DIAS)</v>
      </c>
    </row>
    <row r="17" spans="1:18" x14ac:dyDescent="0.25">
      <c r="A17" s="3" t="str">
        <f t="shared" si="2"/>
        <v>oct</v>
      </c>
      <c r="B17" s="2" t="s">
        <v>51</v>
      </c>
      <c r="C17" s="3">
        <v>7950</v>
      </c>
      <c r="D17" s="17">
        <v>46309</v>
      </c>
      <c r="E17" s="3">
        <v>0</v>
      </c>
      <c r="F17" s="3">
        <v>0</v>
      </c>
      <c r="G17" s="3" t="s">
        <v>634</v>
      </c>
      <c r="H17" s="6"/>
      <c r="J17" s="2" t="s">
        <v>26</v>
      </c>
      <c r="K17" s="14">
        <f t="shared" si="0"/>
        <v>46308</v>
      </c>
      <c r="L17" s="3" t="str">
        <f t="shared" ca="1" si="1"/>
        <v>AL DIA (MENOS 10 DIAS)</v>
      </c>
    </row>
    <row r="18" spans="1:18" x14ac:dyDescent="0.25">
      <c r="A18" s="3" t="str">
        <f t="shared" si="2"/>
        <v>oct</v>
      </c>
      <c r="B18" s="2" t="s">
        <v>52</v>
      </c>
      <c r="C18" s="3">
        <v>1300</v>
      </c>
      <c r="D18" s="17">
        <v>46309</v>
      </c>
      <c r="E18" s="3">
        <v>0</v>
      </c>
      <c r="F18" s="3">
        <v>0</v>
      </c>
      <c r="G18" s="3" t="s">
        <v>634</v>
      </c>
      <c r="H18" s="6"/>
      <c r="J18" s="2" t="s">
        <v>27</v>
      </c>
      <c r="K18" s="14" t="str">
        <f t="shared" si="0"/>
        <v/>
      </c>
      <c r="L18" s="3" t="str">
        <f t="shared" ca="1" si="1"/>
        <v>CRITICO(MAS 30 DIAS)</v>
      </c>
    </row>
    <row r="19" spans="1:18" x14ac:dyDescent="0.25">
      <c r="A19" s="3" t="str">
        <f t="shared" si="2"/>
        <v>oct</v>
      </c>
      <c r="B19" s="2" t="s">
        <v>53</v>
      </c>
      <c r="C19" s="3">
        <v>400</v>
      </c>
      <c r="D19" s="17">
        <v>46309</v>
      </c>
      <c r="E19" s="3">
        <v>0</v>
      </c>
      <c r="F19" s="3">
        <v>0</v>
      </c>
      <c r="G19" s="3" t="s">
        <v>634</v>
      </c>
      <c r="H19" s="6"/>
      <c r="J19" s="2" t="s">
        <v>28</v>
      </c>
      <c r="K19" s="14">
        <f t="shared" si="0"/>
        <v>46314</v>
      </c>
      <c r="L19" s="3" t="str">
        <f t="shared" ca="1" si="1"/>
        <v>AL DIA (MENOS 10 DIAS)</v>
      </c>
    </row>
    <row r="20" spans="1:18" x14ac:dyDescent="0.25">
      <c r="A20" s="3" t="str">
        <f t="shared" si="2"/>
        <v>oct</v>
      </c>
      <c r="B20" s="2" t="s">
        <v>28</v>
      </c>
      <c r="C20" s="3">
        <v>843</v>
      </c>
      <c r="D20" s="17">
        <v>46314</v>
      </c>
      <c r="E20" s="3">
        <v>0</v>
      </c>
      <c r="F20" s="3">
        <v>0</v>
      </c>
      <c r="G20" s="3" t="s">
        <v>632</v>
      </c>
      <c r="H20" s="6"/>
      <c r="J20" s="2" t="s">
        <v>29</v>
      </c>
      <c r="K20" s="14">
        <f t="shared" si="0"/>
        <v>46314</v>
      </c>
      <c r="L20" s="3" t="str">
        <f t="shared" ca="1" si="1"/>
        <v>AL DIA (MENOS 10 DIAS)</v>
      </c>
      <c r="N20" s="42" t="s">
        <v>645</v>
      </c>
      <c r="O20" t="s">
        <v>636</v>
      </c>
    </row>
    <row r="21" spans="1:18" x14ac:dyDescent="0.25">
      <c r="A21" s="3" t="str">
        <f t="shared" si="2"/>
        <v>oct</v>
      </c>
      <c r="B21" s="2" t="s">
        <v>8</v>
      </c>
      <c r="C21" s="3">
        <v>25852</v>
      </c>
      <c r="D21" s="17">
        <v>46314</v>
      </c>
      <c r="E21" s="3">
        <v>0</v>
      </c>
      <c r="F21" s="3">
        <v>0</v>
      </c>
      <c r="G21" s="3" t="s">
        <v>631</v>
      </c>
      <c r="H21" s="6"/>
      <c r="J21" s="2" t="s">
        <v>30</v>
      </c>
      <c r="K21" s="14" t="str">
        <f t="shared" si="0"/>
        <v/>
      </c>
      <c r="L21" s="3" t="str">
        <f t="shared" ca="1" si="1"/>
        <v>CRITICO(MAS 30 DIAS)</v>
      </c>
      <c r="N21" s="42" t="s">
        <v>0</v>
      </c>
      <c r="O21" t="s">
        <v>636</v>
      </c>
    </row>
    <row r="22" spans="1:18" x14ac:dyDescent="0.25">
      <c r="A22" s="3" t="str">
        <f t="shared" si="2"/>
        <v>oct</v>
      </c>
      <c r="B22" s="2" t="s">
        <v>54</v>
      </c>
      <c r="C22" s="3">
        <v>44890</v>
      </c>
      <c r="D22" s="17">
        <v>46314</v>
      </c>
      <c r="E22" s="3">
        <v>0</v>
      </c>
      <c r="F22" s="3">
        <v>0</v>
      </c>
      <c r="G22" s="3" t="s">
        <v>631</v>
      </c>
      <c r="H22" s="6"/>
      <c r="J22" s="2" t="s">
        <v>31</v>
      </c>
      <c r="K22" s="14">
        <f t="shared" si="0"/>
        <v>46314</v>
      </c>
      <c r="L22" s="3" t="str">
        <f t="shared" ca="1" si="1"/>
        <v>AL DIA (MENOS 10 DIAS)</v>
      </c>
    </row>
    <row r="23" spans="1:18" x14ac:dyDescent="0.25">
      <c r="A23" s="3" t="str">
        <f t="shared" si="2"/>
        <v>oct</v>
      </c>
      <c r="B23" s="2" t="s">
        <v>16</v>
      </c>
      <c r="C23" s="3">
        <v>89620</v>
      </c>
      <c r="D23" s="17">
        <v>46314</v>
      </c>
      <c r="E23" s="3">
        <v>0</v>
      </c>
      <c r="F23" s="3">
        <v>0</v>
      </c>
      <c r="G23" s="3" t="s">
        <v>632</v>
      </c>
      <c r="H23" s="6"/>
      <c r="J23" s="2" t="s">
        <v>32</v>
      </c>
      <c r="K23" s="14">
        <f t="shared" si="0"/>
        <v>46308</v>
      </c>
      <c r="L23" s="3" t="str">
        <f t="shared" ca="1" si="1"/>
        <v>AL DIA (MENOS 10 DIAS)</v>
      </c>
      <c r="N23" s="42" t="s">
        <v>637</v>
      </c>
      <c r="O23" t="s">
        <v>641</v>
      </c>
      <c r="P23" t="s">
        <v>643</v>
      </c>
      <c r="Q23" t="s">
        <v>651</v>
      </c>
      <c r="R23" t="s">
        <v>652</v>
      </c>
    </row>
    <row r="24" spans="1:18" x14ac:dyDescent="0.25">
      <c r="A24" s="3" t="str">
        <f t="shared" si="2"/>
        <v>oct</v>
      </c>
      <c r="B24" s="2" t="s">
        <v>17</v>
      </c>
      <c r="C24" s="3">
        <v>5760</v>
      </c>
      <c r="D24" s="17">
        <v>46314</v>
      </c>
      <c r="E24" s="3">
        <v>0</v>
      </c>
      <c r="F24" s="3">
        <v>0</v>
      </c>
      <c r="G24" s="3" t="s">
        <v>632</v>
      </c>
      <c r="H24" s="6"/>
      <c r="J24" s="2" t="s">
        <v>33</v>
      </c>
      <c r="K24" s="14">
        <f t="shared" si="0"/>
        <v>46308</v>
      </c>
      <c r="L24" s="3" t="str">
        <f t="shared" ca="1" si="1"/>
        <v>AL DIA (MENOS 10 DIAS)</v>
      </c>
      <c r="N24" s="43" t="s">
        <v>631</v>
      </c>
      <c r="O24">
        <v>12729</v>
      </c>
      <c r="P24">
        <v>3</v>
      </c>
      <c r="Q24">
        <v>3</v>
      </c>
      <c r="R24">
        <v>3</v>
      </c>
    </row>
    <row r="25" spans="1:18" x14ac:dyDescent="0.25">
      <c r="A25" s="3" t="str">
        <f t="shared" si="2"/>
        <v>oct</v>
      </c>
      <c r="B25" s="2" t="s">
        <v>23</v>
      </c>
      <c r="C25" s="3">
        <v>832</v>
      </c>
      <c r="D25" s="17">
        <v>46314</v>
      </c>
      <c r="E25" s="3">
        <v>0</v>
      </c>
      <c r="F25" s="3">
        <v>0</v>
      </c>
      <c r="G25" s="3" t="s">
        <v>632</v>
      </c>
      <c r="H25" s="6"/>
      <c r="J25" s="2" t="s">
        <v>34</v>
      </c>
      <c r="K25" s="14">
        <f t="shared" si="0"/>
        <v>46314</v>
      </c>
      <c r="L25" s="3" t="str">
        <f t="shared" ca="1" si="1"/>
        <v>AL DIA (MENOS 10 DIAS)</v>
      </c>
      <c r="N25" s="43" t="s">
        <v>630</v>
      </c>
      <c r="O25">
        <v>79055</v>
      </c>
      <c r="P25">
        <v>11</v>
      </c>
      <c r="Q25">
        <v>11</v>
      </c>
      <c r="R25">
        <v>11</v>
      </c>
    </row>
    <row r="26" spans="1:18" x14ac:dyDescent="0.25">
      <c r="A26" s="3" t="str">
        <f t="shared" si="2"/>
        <v>oct</v>
      </c>
      <c r="B26" s="2" t="s">
        <v>29</v>
      </c>
      <c r="C26" s="3">
        <v>20900</v>
      </c>
      <c r="D26" s="17">
        <v>46314</v>
      </c>
      <c r="E26" s="3">
        <v>0</v>
      </c>
      <c r="F26" s="3">
        <v>0</v>
      </c>
      <c r="G26" s="3" t="s">
        <v>632</v>
      </c>
      <c r="H26" s="6"/>
      <c r="J26" s="2" t="s">
        <v>35</v>
      </c>
      <c r="K26" s="14">
        <f t="shared" si="0"/>
        <v>46314</v>
      </c>
      <c r="L26" s="3" t="str">
        <f t="shared" ca="1" si="1"/>
        <v>AL DIA (MENOS 10 DIAS)</v>
      </c>
      <c r="N26" s="43" t="s">
        <v>639</v>
      </c>
      <c r="O26">
        <v>91784</v>
      </c>
      <c r="P26">
        <v>14</v>
      </c>
      <c r="Q26">
        <v>14</v>
      </c>
      <c r="R26">
        <v>14</v>
      </c>
    </row>
    <row r="27" spans="1:18" x14ac:dyDescent="0.25">
      <c r="A27" s="3" t="str">
        <f t="shared" si="2"/>
        <v>oct</v>
      </c>
      <c r="B27" s="2" t="s">
        <v>31</v>
      </c>
      <c r="C27" s="3">
        <v>2500</v>
      </c>
      <c r="D27" s="17">
        <v>46314</v>
      </c>
      <c r="E27" s="3">
        <v>0</v>
      </c>
      <c r="F27" s="3">
        <v>0</v>
      </c>
      <c r="G27" s="3" t="s">
        <v>632</v>
      </c>
      <c r="H27" s="6"/>
      <c r="J27" s="2" t="s">
        <v>36</v>
      </c>
      <c r="K27" s="14">
        <f t="shared" si="0"/>
        <v>46308</v>
      </c>
      <c r="L27" s="3" t="str">
        <f t="shared" ca="1" si="1"/>
        <v>AL DIA (MENOS 10 DIAS)</v>
      </c>
      <c r="Q27"/>
    </row>
    <row r="28" spans="1:18" x14ac:dyDescent="0.25">
      <c r="A28" s="3" t="str">
        <f t="shared" si="2"/>
        <v>oct</v>
      </c>
      <c r="B28" s="2" t="s">
        <v>34</v>
      </c>
      <c r="C28" s="3">
        <v>1800</v>
      </c>
      <c r="D28" s="17">
        <v>46314</v>
      </c>
      <c r="E28" s="3">
        <v>0</v>
      </c>
      <c r="F28" s="3">
        <v>0</v>
      </c>
      <c r="G28" s="3" t="s">
        <v>632</v>
      </c>
      <c r="H28" s="6"/>
      <c r="J28" s="2" t="s">
        <v>37</v>
      </c>
      <c r="K28" s="14" t="str">
        <f t="shared" si="0"/>
        <v/>
      </c>
      <c r="L28" s="3" t="str">
        <f t="shared" ca="1" si="1"/>
        <v>CRITICO(MAS 30 DIAS)</v>
      </c>
    </row>
    <row r="29" spans="1:18" x14ac:dyDescent="0.25">
      <c r="A29" s="3" t="str">
        <f t="shared" si="2"/>
        <v>oct</v>
      </c>
      <c r="B29" s="2" t="s">
        <v>35</v>
      </c>
      <c r="C29" s="3">
        <v>14150</v>
      </c>
      <c r="D29" s="17">
        <v>46314</v>
      </c>
      <c r="E29" s="3">
        <v>0</v>
      </c>
      <c r="F29" s="3">
        <v>0</v>
      </c>
      <c r="G29" s="3" t="s">
        <v>632</v>
      </c>
      <c r="H29" s="6"/>
      <c r="J29" s="2" t="s">
        <v>38</v>
      </c>
      <c r="K29" s="14">
        <f t="shared" si="0"/>
        <v>46309</v>
      </c>
      <c r="L29" s="3" t="str">
        <f t="shared" ca="1" si="1"/>
        <v>AL DIA (MENOS 10 DIAS)</v>
      </c>
    </row>
    <row r="30" spans="1:18" x14ac:dyDescent="0.25">
      <c r="A30" s="3" t="str">
        <f t="shared" si="2"/>
        <v>oct</v>
      </c>
      <c r="B30" s="2" t="s">
        <v>50</v>
      </c>
      <c r="C30" s="3">
        <v>13500</v>
      </c>
      <c r="D30" s="17">
        <v>46314</v>
      </c>
      <c r="E30" s="3">
        <v>0</v>
      </c>
      <c r="F30" s="3">
        <v>0</v>
      </c>
      <c r="G30" s="3" t="s">
        <v>631</v>
      </c>
      <c r="H30" s="6"/>
      <c r="J30" s="2" t="s">
        <v>39</v>
      </c>
      <c r="K30" s="14">
        <f t="shared" si="0"/>
        <v>46309</v>
      </c>
      <c r="L30" s="3" t="str">
        <f t="shared" ca="1" si="1"/>
        <v>AL DIA (MENOS 10 DIAS)</v>
      </c>
    </row>
    <row r="31" spans="1:18" x14ac:dyDescent="0.25">
      <c r="A31" s="3" t="str">
        <f t="shared" si="2"/>
        <v>oct</v>
      </c>
      <c r="B31" s="2" t="s">
        <v>55</v>
      </c>
      <c r="C31" s="3">
        <v>2590</v>
      </c>
      <c r="D31" s="17">
        <v>46314</v>
      </c>
      <c r="E31" s="3">
        <v>0</v>
      </c>
      <c r="F31" s="3">
        <v>0</v>
      </c>
      <c r="G31" s="3" t="s">
        <v>631</v>
      </c>
      <c r="H31" s="6"/>
      <c r="J31" s="2" t="s">
        <v>40</v>
      </c>
      <c r="K31" s="14">
        <f t="shared" si="0"/>
        <v>46308</v>
      </c>
      <c r="L31" s="3" t="str">
        <f t="shared" ca="1" si="1"/>
        <v>AL DIA (MENOS 10 DIAS)</v>
      </c>
    </row>
    <row r="32" spans="1:18" x14ac:dyDescent="0.25">
      <c r="A32" s="3" t="str">
        <f t="shared" si="2"/>
        <v>oct</v>
      </c>
      <c r="B32" s="2" t="s">
        <v>56</v>
      </c>
      <c r="C32" s="3">
        <v>1210</v>
      </c>
      <c r="D32" s="17">
        <v>46314</v>
      </c>
      <c r="E32" s="3">
        <v>0</v>
      </c>
      <c r="F32" s="3">
        <v>0</v>
      </c>
      <c r="G32" s="3" t="s">
        <v>631</v>
      </c>
      <c r="H32" s="6"/>
      <c r="J32" s="2" t="s">
        <v>41</v>
      </c>
      <c r="K32" s="14">
        <f t="shared" si="0"/>
        <v>46308</v>
      </c>
      <c r="L32" s="3" t="str">
        <f t="shared" ca="1" si="1"/>
        <v>AL DIA (MENOS 10 DIAS)</v>
      </c>
    </row>
    <row r="33" spans="1:12" x14ac:dyDescent="0.25">
      <c r="A33" s="3" t="str">
        <f t="shared" si="2"/>
        <v>oct</v>
      </c>
      <c r="B33" s="2" t="s">
        <v>64</v>
      </c>
      <c r="C33" s="3">
        <v>11750</v>
      </c>
      <c r="D33" s="17">
        <v>46314</v>
      </c>
      <c r="E33" s="3">
        <v>0</v>
      </c>
      <c r="F33" s="3">
        <v>0</v>
      </c>
      <c r="G33" s="3" t="s">
        <v>633</v>
      </c>
      <c r="H33" s="6"/>
      <c r="J33" s="2" t="s">
        <v>42</v>
      </c>
      <c r="K33" s="14">
        <f t="shared" si="0"/>
        <v>46308</v>
      </c>
      <c r="L33" s="3" t="str">
        <f t="shared" ca="1" si="1"/>
        <v>AL DIA (MENOS 10 DIAS)</v>
      </c>
    </row>
    <row r="34" spans="1:12" x14ac:dyDescent="0.25">
      <c r="A34" s="3" t="str">
        <f t="shared" si="2"/>
        <v>oct</v>
      </c>
      <c r="B34" s="2" t="s">
        <v>63</v>
      </c>
      <c r="C34" s="3">
        <v>1532</v>
      </c>
      <c r="D34" s="17">
        <v>46314</v>
      </c>
      <c r="E34" s="3">
        <v>0</v>
      </c>
      <c r="F34" s="3">
        <v>0</v>
      </c>
      <c r="G34" s="3" t="s">
        <v>632</v>
      </c>
      <c r="H34" s="6"/>
      <c r="J34" s="2" t="s">
        <v>43</v>
      </c>
      <c r="K34" s="14">
        <f t="shared" si="0"/>
        <v>46308</v>
      </c>
      <c r="L34" s="3" t="str">
        <f t="shared" ca="1" si="1"/>
        <v>AL DIA (MENOS 10 DIAS)</v>
      </c>
    </row>
    <row r="35" spans="1:12" x14ac:dyDescent="0.25">
      <c r="A35" s="3" t="str">
        <f t="shared" si="2"/>
        <v>oct</v>
      </c>
      <c r="B35" s="2" t="s">
        <v>58</v>
      </c>
      <c r="C35" s="3">
        <v>2320</v>
      </c>
      <c r="D35" s="17">
        <v>46314</v>
      </c>
      <c r="E35" s="3">
        <v>0</v>
      </c>
      <c r="F35" s="3">
        <v>0</v>
      </c>
      <c r="G35" s="3" t="s">
        <v>634</v>
      </c>
      <c r="H35" s="6"/>
      <c r="J35" s="2" t="s">
        <v>44</v>
      </c>
      <c r="K35" s="14">
        <f t="shared" si="0"/>
        <v>46308</v>
      </c>
      <c r="L35" s="3" t="str">
        <f t="shared" ca="1" si="1"/>
        <v>AL DIA (MENOS 10 DIAS)</v>
      </c>
    </row>
    <row r="36" spans="1:12" x14ac:dyDescent="0.25">
      <c r="A36" s="3" t="str">
        <f t="shared" si="2"/>
        <v>oct</v>
      </c>
      <c r="B36" s="2" t="s">
        <v>15</v>
      </c>
      <c r="C36" s="3">
        <v>800</v>
      </c>
      <c r="D36" s="17">
        <v>46308</v>
      </c>
      <c r="E36" s="3">
        <v>0</v>
      </c>
      <c r="F36" s="3">
        <v>0</v>
      </c>
      <c r="G36" s="3" t="s">
        <v>631</v>
      </c>
      <c r="H36" s="6"/>
      <c r="J36" s="2" t="s">
        <v>45</v>
      </c>
      <c r="K36" s="14">
        <f t="shared" si="0"/>
        <v>46308</v>
      </c>
      <c r="L36" s="3" t="str">
        <f t="shared" ca="1" si="1"/>
        <v>AL DIA (MENOS 10 DIAS)</v>
      </c>
    </row>
    <row r="37" spans="1:12" x14ac:dyDescent="0.25">
      <c r="A37" s="3" t="str">
        <f t="shared" si="2"/>
        <v>oct</v>
      </c>
      <c r="B37" s="2" t="s">
        <v>18</v>
      </c>
      <c r="C37" s="3">
        <v>800</v>
      </c>
      <c r="D37" s="17">
        <v>46308</v>
      </c>
      <c r="E37" s="3">
        <v>0</v>
      </c>
      <c r="F37" s="3">
        <v>0</v>
      </c>
      <c r="G37" s="3" t="s">
        <v>631</v>
      </c>
      <c r="H37" s="6"/>
      <c r="J37" s="2" t="s">
        <v>46</v>
      </c>
      <c r="K37" s="14">
        <f t="shared" si="0"/>
        <v>46308</v>
      </c>
      <c r="L37" s="3" t="str">
        <f t="shared" ca="1" si="1"/>
        <v>AL DIA (MENOS 10 DIAS)</v>
      </c>
    </row>
    <row r="38" spans="1:12" x14ac:dyDescent="0.25">
      <c r="A38" s="3" t="str">
        <f t="shared" si="2"/>
        <v>oct</v>
      </c>
      <c r="B38" s="2" t="s">
        <v>21</v>
      </c>
      <c r="C38" s="3">
        <v>2110</v>
      </c>
      <c r="D38" s="17">
        <v>46308</v>
      </c>
      <c r="E38" s="3">
        <v>0</v>
      </c>
      <c r="F38" s="3">
        <v>0</v>
      </c>
      <c r="G38" s="3" t="s">
        <v>631</v>
      </c>
      <c r="H38" s="6"/>
      <c r="J38" s="2" t="s">
        <v>7</v>
      </c>
      <c r="K38" s="14" t="str">
        <f t="shared" si="0"/>
        <v/>
      </c>
      <c r="L38" s="3" t="str">
        <f t="shared" ca="1" si="1"/>
        <v>CRITICO(MAS 30 DIAS)</v>
      </c>
    </row>
    <row r="39" spans="1:12" x14ac:dyDescent="0.25">
      <c r="A39" s="3" t="str">
        <f t="shared" si="2"/>
        <v>oct</v>
      </c>
      <c r="B39" s="2" t="s">
        <v>24</v>
      </c>
      <c r="C39" s="3">
        <v>1950</v>
      </c>
      <c r="D39" s="17">
        <v>46308</v>
      </c>
      <c r="E39" s="3">
        <v>0</v>
      </c>
      <c r="F39" s="3">
        <v>0</v>
      </c>
      <c r="G39" s="3" t="s">
        <v>631</v>
      </c>
      <c r="H39" s="6"/>
      <c r="J39" s="2" t="s">
        <v>8</v>
      </c>
      <c r="K39" s="14">
        <f t="shared" si="0"/>
        <v>46314</v>
      </c>
      <c r="L39" s="3" t="str">
        <f t="shared" ca="1" si="1"/>
        <v>AL DIA (MENOS 10 DIAS)</v>
      </c>
    </row>
    <row r="40" spans="1:12" x14ac:dyDescent="0.25">
      <c r="A40" s="3" t="str">
        <f t="shared" si="2"/>
        <v>oct</v>
      </c>
      <c r="B40" s="2" t="s">
        <v>32</v>
      </c>
      <c r="C40" s="3">
        <v>12500</v>
      </c>
      <c r="D40" s="17">
        <v>46308</v>
      </c>
      <c r="E40" s="3">
        <v>0</v>
      </c>
      <c r="F40" s="3">
        <v>0</v>
      </c>
      <c r="G40" s="3" t="s">
        <v>631</v>
      </c>
      <c r="H40" s="6"/>
      <c r="J40" s="2" t="s">
        <v>47</v>
      </c>
      <c r="K40" s="14">
        <f t="shared" si="0"/>
        <v>46308</v>
      </c>
      <c r="L40" s="3" t="str">
        <f t="shared" ca="1" si="1"/>
        <v>AL DIA (MENOS 10 DIAS)</v>
      </c>
    </row>
    <row r="41" spans="1:12" x14ac:dyDescent="0.25">
      <c r="A41" s="3" t="str">
        <f t="shared" si="2"/>
        <v>oct</v>
      </c>
      <c r="B41" s="2" t="s">
        <v>36</v>
      </c>
      <c r="C41" s="3">
        <v>120</v>
      </c>
      <c r="D41" s="17">
        <v>46308</v>
      </c>
      <c r="E41" s="3">
        <v>0</v>
      </c>
      <c r="F41" s="3">
        <v>0</v>
      </c>
      <c r="G41" s="3" t="s">
        <v>631</v>
      </c>
      <c r="H41" s="6"/>
      <c r="J41" s="2" t="s">
        <v>10</v>
      </c>
      <c r="K41" s="14">
        <f t="shared" si="0"/>
        <v>46308</v>
      </c>
      <c r="L41" s="3" t="str">
        <f t="shared" ca="1" si="1"/>
        <v>AL DIA (MENOS 10 DIAS)</v>
      </c>
    </row>
    <row r="42" spans="1:12" x14ac:dyDescent="0.25">
      <c r="A42" s="3" t="str">
        <f t="shared" si="2"/>
        <v>oct</v>
      </c>
      <c r="B42" s="2" t="s">
        <v>40</v>
      </c>
      <c r="C42" s="3">
        <v>6750</v>
      </c>
      <c r="D42" s="17">
        <v>46308</v>
      </c>
      <c r="E42" s="3">
        <v>0</v>
      </c>
      <c r="F42" s="3">
        <v>0</v>
      </c>
      <c r="G42" s="3" t="s">
        <v>631</v>
      </c>
      <c r="H42" s="6"/>
      <c r="J42" s="2" t="s">
        <v>48</v>
      </c>
      <c r="K42" s="14" t="str">
        <f t="shared" si="0"/>
        <v/>
      </c>
      <c r="L42" s="3" t="str">
        <f t="shared" ca="1" si="1"/>
        <v>CRITICO(MAS 30 DIAS)</v>
      </c>
    </row>
    <row r="43" spans="1:12" x14ac:dyDescent="0.25">
      <c r="A43" s="3" t="str">
        <f t="shared" si="2"/>
        <v>oct</v>
      </c>
      <c r="B43" s="2" t="s">
        <v>13</v>
      </c>
      <c r="C43" s="3">
        <v>2430</v>
      </c>
      <c r="D43" s="17">
        <v>46308</v>
      </c>
      <c r="E43" s="3">
        <v>0</v>
      </c>
      <c r="F43" s="3">
        <v>0</v>
      </c>
      <c r="G43" s="3" t="s">
        <v>631</v>
      </c>
      <c r="H43" s="6"/>
      <c r="J43" s="2" t="s">
        <v>49</v>
      </c>
      <c r="K43" s="14" t="str">
        <f t="shared" si="0"/>
        <v/>
      </c>
      <c r="L43" s="3" t="str">
        <f t="shared" ca="1" si="1"/>
        <v>CRITICO(MAS 30 DIAS)</v>
      </c>
    </row>
    <row r="44" spans="1:12" x14ac:dyDescent="0.25">
      <c r="A44" s="3" t="str">
        <f t="shared" si="2"/>
        <v>oct</v>
      </c>
      <c r="B44" s="2" t="s">
        <v>14</v>
      </c>
      <c r="C44" s="3">
        <v>2000</v>
      </c>
      <c r="D44" s="17">
        <v>46308</v>
      </c>
      <c r="E44" s="3">
        <v>0</v>
      </c>
      <c r="F44" s="3">
        <v>0</v>
      </c>
      <c r="G44" s="3" t="s">
        <v>631</v>
      </c>
      <c r="H44" s="6"/>
      <c r="J44" s="2" t="s">
        <v>50</v>
      </c>
      <c r="K44" s="14">
        <f t="shared" si="0"/>
        <v>46314</v>
      </c>
      <c r="L44" s="3" t="str">
        <f t="shared" ca="1" si="1"/>
        <v>AL DIA (MENOS 10 DIAS)</v>
      </c>
    </row>
    <row r="45" spans="1:12" x14ac:dyDescent="0.25">
      <c r="A45" s="3" t="str">
        <f t="shared" si="2"/>
        <v>oct</v>
      </c>
      <c r="B45" s="2" t="s">
        <v>61</v>
      </c>
      <c r="C45" s="3">
        <v>3963</v>
      </c>
      <c r="D45" s="17">
        <v>46308</v>
      </c>
      <c r="E45" s="3">
        <v>0</v>
      </c>
      <c r="F45" s="3">
        <v>0</v>
      </c>
      <c r="G45" s="3" t="s">
        <v>631</v>
      </c>
      <c r="H45" s="6"/>
      <c r="J45" s="2" t="s">
        <v>51</v>
      </c>
      <c r="K45" s="14">
        <f t="shared" si="0"/>
        <v>46309</v>
      </c>
      <c r="L45" s="3" t="str">
        <f t="shared" ca="1" si="1"/>
        <v>AL DIA (MENOS 10 DIAS)</v>
      </c>
    </row>
    <row r="46" spans="1:12" x14ac:dyDescent="0.25">
      <c r="A46" s="3" t="str">
        <f t="shared" si="2"/>
        <v>oct</v>
      </c>
      <c r="B46" s="2" t="s">
        <v>59</v>
      </c>
      <c r="C46" s="3">
        <v>3232</v>
      </c>
      <c r="D46" s="17">
        <v>46308</v>
      </c>
      <c r="E46" s="3">
        <v>0</v>
      </c>
      <c r="F46" s="3">
        <v>0</v>
      </c>
      <c r="G46" s="3" t="s">
        <v>632</v>
      </c>
      <c r="H46" s="6"/>
      <c r="J46" s="2" t="s">
        <v>52</v>
      </c>
      <c r="K46" s="14">
        <f t="shared" si="0"/>
        <v>46309</v>
      </c>
      <c r="L46" s="3" t="str">
        <f t="shared" ca="1" si="1"/>
        <v>AL DIA (MENOS 10 DIAS)</v>
      </c>
    </row>
    <row r="47" spans="1:12" x14ac:dyDescent="0.25">
      <c r="A47" s="3" t="str">
        <f t="shared" si="2"/>
        <v>oct</v>
      </c>
      <c r="B47" s="2" t="s">
        <v>38</v>
      </c>
      <c r="C47" s="3">
        <v>51500</v>
      </c>
      <c r="D47" s="17">
        <v>46309</v>
      </c>
      <c r="E47" s="3">
        <v>0</v>
      </c>
      <c r="F47" s="3">
        <v>0</v>
      </c>
      <c r="G47" s="3" t="s">
        <v>631</v>
      </c>
      <c r="H47" s="6"/>
      <c r="J47" s="2" t="s">
        <v>53</v>
      </c>
      <c r="K47" s="14">
        <f t="shared" si="0"/>
        <v>46309</v>
      </c>
      <c r="L47" s="3" t="str">
        <f t="shared" ca="1" si="1"/>
        <v>AL DIA (MENOS 10 DIAS)</v>
      </c>
    </row>
    <row r="48" spans="1:12" x14ac:dyDescent="0.25">
      <c r="A48" s="3" t="str">
        <f t="shared" si="2"/>
        <v>oct</v>
      </c>
      <c r="B48" s="2" t="s">
        <v>39</v>
      </c>
      <c r="C48" s="3">
        <v>14480</v>
      </c>
      <c r="D48" s="17">
        <v>46309</v>
      </c>
      <c r="E48" s="3">
        <v>0</v>
      </c>
      <c r="F48" s="3">
        <v>2</v>
      </c>
      <c r="G48" s="3" t="s">
        <v>631</v>
      </c>
      <c r="H48" s="6"/>
      <c r="J48" s="2" t="s">
        <v>54</v>
      </c>
      <c r="K48" s="14">
        <f t="shared" si="0"/>
        <v>46314</v>
      </c>
      <c r="L48" s="3" t="str">
        <f t="shared" ca="1" si="1"/>
        <v>AL DIA (MENOS 10 DIAS)</v>
      </c>
    </row>
    <row r="49" spans="1:12" x14ac:dyDescent="0.25">
      <c r="A49" s="3" t="str">
        <f t="shared" si="2"/>
        <v>oct</v>
      </c>
      <c r="B49" s="2" t="s">
        <v>57</v>
      </c>
      <c r="C49" s="3">
        <v>26450</v>
      </c>
      <c r="D49" s="17">
        <v>46314</v>
      </c>
      <c r="E49" s="3">
        <v>0</v>
      </c>
      <c r="F49" s="3">
        <v>0</v>
      </c>
      <c r="G49" s="3" t="s">
        <v>634</v>
      </c>
      <c r="H49" s="6"/>
      <c r="J49" s="2" t="s">
        <v>55</v>
      </c>
      <c r="K49" s="14">
        <f t="shared" si="0"/>
        <v>46314</v>
      </c>
      <c r="L49" s="3" t="str">
        <f t="shared" ca="1" si="1"/>
        <v>AL DIA (MENOS 10 DIAS)</v>
      </c>
    </row>
    <row r="50" spans="1:12" x14ac:dyDescent="0.25">
      <c r="A50" s="3" t="str">
        <f t="shared" si="2"/>
        <v>oct</v>
      </c>
      <c r="B50" s="2" t="s">
        <v>19</v>
      </c>
      <c r="C50" s="3">
        <v>4750</v>
      </c>
      <c r="D50" s="17">
        <v>46314</v>
      </c>
      <c r="E50" s="3">
        <v>0</v>
      </c>
      <c r="F50" s="3">
        <v>0</v>
      </c>
      <c r="G50" s="3" t="s">
        <v>634</v>
      </c>
      <c r="H50" s="6"/>
      <c r="J50" s="2" t="s">
        <v>56</v>
      </c>
      <c r="K50" s="14">
        <f t="shared" si="0"/>
        <v>46314</v>
      </c>
      <c r="L50" s="3" t="str">
        <f t="shared" ca="1" si="1"/>
        <v>AL DIA (MENOS 10 DIAS)</v>
      </c>
    </row>
    <row r="51" spans="1:12" x14ac:dyDescent="0.25">
      <c r="A51" s="3" t="str">
        <f t="shared" si="2"/>
        <v>ene</v>
      </c>
      <c r="B51" s="2"/>
      <c r="C51" s="3"/>
      <c r="D51" s="17"/>
      <c r="E51" s="3"/>
      <c r="F51" s="3"/>
      <c r="G51" s="3"/>
      <c r="H51" s="6"/>
      <c r="J51" s="2" t="s">
        <v>57</v>
      </c>
      <c r="K51" s="14">
        <f t="shared" si="0"/>
        <v>46314</v>
      </c>
      <c r="L51" s="3" t="str">
        <f t="shared" ca="1" si="1"/>
        <v>AL DIA (MENOS 10 DIAS)</v>
      </c>
    </row>
    <row r="52" spans="1:12" x14ac:dyDescent="0.25">
      <c r="A52" s="3" t="str">
        <f t="shared" si="2"/>
        <v>ene</v>
      </c>
      <c r="B52" s="2"/>
      <c r="C52" s="3"/>
      <c r="D52" s="17"/>
      <c r="E52" s="3"/>
      <c r="F52" s="3"/>
      <c r="G52" s="3"/>
      <c r="H52" s="6"/>
      <c r="J52" s="2" t="s">
        <v>58</v>
      </c>
      <c r="K52" s="14">
        <f t="shared" si="0"/>
        <v>46314</v>
      </c>
      <c r="L52" s="3" t="str">
        <f t="shared" ca="1" si="1"/>
        <v>AL DIA (MENOS 10 DIAS)</v>
      </c>
    </row>
    <row r="53" spans="1:12" x14ac:dyDescent="0.25">
      <c r="A53" s="3" t="str">
        <f t="shared" si="2"/>
        <v>ene</v>
      </c>
      <c r="B53" s="2"/>
      <c r="C53" s="3"/>
      <c r="D53" s="17"/>
      <c r="E53" s="3"/>
      <c r="F53" s="3"/>
      <c r="G53" s="3"/>
      <c r="H53" s="6"/>
      <c r="J53" s="2" t="s">
        <v>13</v>
      </c>
      <c r="K53" s="14">
        <f t="shared" si="0"/>
        <v>46308</v>
      </c>
      <c r="L53" s="3" t="str">
        <f t="shared" ca="1" si="1"/>
        <v>AL DIA (MENOS 10 DIAS)</v>
      </c>
    </row>
    <row r="54" spans="1:12" x14ac:dyDescent="0.25">
      <c r="A54" s="3" t="str">
        <f t="shared" si="2"/>
        <v>ene</v>
      </c>
      <c r="B54" s="2"/>
      <c r="C54" s="3"/>
      <c r="D54" s="17"/>
      <c r="E54" s="3"/>
      <c r="F54" s="3"/>
      <c r="G54" s="3"/>
      <c r="H54" s="6"/>
      <c r="J54" s="2" t="s">
        <v>14</v>
      </c>
      <c r="K54" s="14">
        <f t="shared" si="0"/>
        <v>46308</v>
      </c>
      <c r="L54" s="3" t="str">
        <f t="shared" ca="1" si="1"/>
        <v>AL DIA (MENOS 10 DIAS)</v>
      </c>
    </row>
    <row r="55" spans="1:12" x14ac:dyDescent="0.25">
      <c r="A55" s="3" t="str">
        <f t="shared" si="2"/>
        <v>ene</v>
      </c>
      <c r="B55" s="2"/>
      <c r="C55" s="3"/>
      <c r="D55" s="17"/>
      <c r="E55" s="3"/>
      <c r="F55" s="3"/>
      <c r="G55" s="3"/>
      <c r="H55" s="6"/>
      <c r="J55" s="2" t="s">
        <v>59</v>
      </c>
      <c r="K55" s="14">
        <f t="shared" si="0"/>
        <v>46308</v>
      </c>
      <c r="L55" s="3" t="str">
        <f t="shared" ca="1" si="1"/>
        <v>AL DIA (MENOS 10 DIAS)</v>
      </c>
    </row>
    <row r="56" spans="1:12" x14ac:dyDescent="0.25">
      <c r="A56" s="3" t="str">
        <f t="shared" si="2"/>
        <v>ene</v>
      </c>
      <c r="B56" s="2"/>
      <c r="C56" s="3"/>
      <c r="D56" s="17"/>
      <c r="E56" s="3"/>
      <c r="F56" s="3"/>
      <c r="G56" s="3"/>
      <c r="H56" s="6"/>
      <c r="J56" s="2" t="s">
        <v>60</v>
      </c>
      <c r="K56" s="14" t="str">
        <f t="shared" si="0"/>
        <v/>
      </c>
      <c r="L56" s="3" t="str">
        <f t="shared" ca="1" si="1"/>
        <v>CRITICO(MAS 30 DIAS)</v>
      </c>
    </row>
    <row r="57" spans="1:12" x14ac:dyDescent="0.25">
      <c r="A57" s="3" t="str">
        <f t="shared" si="2"/>
        <v>ene</v>
      </c>
      <c r="B57" s="2"/>
      <c r="C57" s="3"/>
      <c r="D57" s="17"/>
      <c r="E57" s="3"/>
      <c r="F57" s="3"/>
      <c r="G57" s="3"/>
      <c r="H57" s="6"/>
      <c r="J57" s="2" t="s">
        <v>61</v>
      </c>
      <c r="K57" s="14">
        <f t="shared" si="0"/>
        <v>46308</v>
      </c>
      <c r="L57" s="3" t="str">
        <f t="shared" ca="1" si="1"/>
        <v>AL DIA (MENOS 10 DIAS)</v>
      </c>
    </row>
    <row r="58" spans="1:12" x14ac:dyDescent="0.25">
      <c r="A58" s="3" t="str">
        <f t="shared" si="2"/>
        <v>ene</v>
      </c>
      <c r="B58" s="2"/>
      <c r="C58" s="3"/>
      <c r="D58" s="17"/>
      <c r="E58" s="3"/>
      <c r="F58" s="3"/>
      <c r="G58" s="3"/>
      <c r="H58" s="6"/>
      <c r="J58" s="2" t="s">
        <v>62</v>
      </c>
      <c r="K58" s="14">
        <f t="shared" si="0"/>
        <v>46308</v>
      </c>
      <c r="L58" s="3" t="str">
        <f t="shared" ca="1" si="1"/>
        <v>AL DIA (MENOS 10 DIAS)</v>
      </c>
    </row>
    <row r="59" spans="1:12" x14ac:dyDescent="0.25">
      <c r="A59" s="3" t="str">
        <f t="shared" si="2"/>
        <v>ene</v>
      </c>
      <c r="B59" s="2"/>
      <c r="C59" s="3"/>
      <c r="D59" s="17"/>
      <c r="E59" s="3"/>
      <c r="F59" s="3"/>
      <c r="G59" s="3"/>
      <c r="H59" s="6"/>
      <c r="J59" s="2" t="s">
        <v>63</v>
      </c>
      <c r="K59" s="14">
        <f t="shared" si="0"/>
        <v>46314</v>
      </c>
      <c r="L59" s="3" t="str">
        <f t="shared" ca="1" si="1"/>
        <v>AL DIA (MENOS 10 DIAS)</v>
      </c>
    </row>
    <row r="60" spans="1:12" x14ac:dyDescent="0.25">
      <c r="A60" s="3" t="str">
        <f t="shared" si="2"/>
        <v>ene</v>
      </c>
      <c r="B60" s="2"/>
      <c r="C60" s="3"/>
      <c r="D60" s="17"/>
      <c r="E60" s="3"/>
      <c r="F60" s="3"/>
      <c r="G60" s="3"/>
      <c r="H60" s="6"/>
      <c r="J60" s="2" t="s">
        <v>64</v>
      </c>
      <c r="K60" s="14">
        <f t="shared" si="0"/>
        <v>46314</v>
      </c>
      <c r="L60" s="3" t="str">
        <f t="shared" ca="1" si="1"/>
        <v>AL DIA (MENOS 10 DIAS)</v>
      </c>
    </row>
    <row r="61" spans="1:12" x14ac:dyDescent="0.25">
      <c r="A61" s="3" t="str">
        <f t="shared" si="2"/>
        <v>ene</v>
      </c>
      <c r="B61" s="47"/>
      <c r="C61" s="3"/>
      <c r="D61" s="16"/>
      <c r="E61" s="6"/>
      <c r="F61" s="6"/>
      <c r="G61" s="6"/>
      <c r="H61" s="6"/>
      <c r="J61" s="2" t="s">
        <v>450</v>
      </c>
      <c r="K61" s="14">
        <f t="shared" si="0"/>
        <v>46308</v>
      </c>
      <c r="L61" s="3" t="str">
        <f t="shared" ca="1" si="1"/>
        <v>AL DIA (MENOS 10 DIAS)</v>
      </c>
    </row>
    <row r="62" spans="1:12" x14ac:dyDescent="0.25">
      <c r="A62" s="3" t="str">
        <f t="shared" si="2"/>
        <v>ene</v>
      </c>
    </row>
    <row r="63" spans="1:12" x14ac:dyDescent="0.25">
      <c r="A63" s="3" t="str">
        <f t="shared" si="2"/>
        <v>ene</v>
      </c>
    </row>
    <row r="64" spans="1:12" x14ac:dyDescent="0.25">
      <c r="A64" s="3" t="str">
        <f t="shared" si="2"/>
        <v>ene</v>
      </c>
    </row>
    <row r="65" spans="1:1" x14ac:dyDescent="0.25">
      <c r="A65" s="3" t="str">
        <f t="shared" si="2"/>
        <v>ene</v>
      </c>
    </row>
    <row r="66" spans="1:1" x14ac:dyDescent="0.25">
      <c r="A66" s="3" t="str">
        <f t="shared" si="2"/>
        <v>ene</v>
      </c>
    </row>
    <row r="67" spans="1:1" x14ac:dyDescent="0.25">
      <c r="A67" s="3" t="str">
        <f t="shared" si="2"/>
        <v>ene</v>
      </c>
    </row>
    <row r="68" spans="1:1" x14ac:dyDescent="0.25">
      <c r="A68" s="3" t="str">
        <f t="shared" si="2"/>
        <v>ene</v>
      </c>
    </row>
    <row r="69" spans="1:1" x14ac:dyDescent="0.25">
      <c r="A69" s="3" t="str">
        <f t="shared" si="2"/>
        <v>ene</v>
      </c>
    </row>
    <row r="70" spans="1:1" x14ac:dyDescent="0.25">
      <c r="A70" s="3" t="str">
        <f t="shared" ref="A70:A133" si="3">TEXT($D70,"mmm")</f>
        <v>ene</v>
      </c>
    </row>
    <row r="71" spans="1:1" x14ac:dyDescent="0.25">
      <c r="A71" s="3" t="str">
        <f t="shared" si="3"/>
        <v>ene</v>
      </c>
    </row>
    <row r="72" spans="1:1" x14ac:dyDescent="0.25">
      <c r="A72" s="3" t="str">
        <f t="shared" si="3"/>
        <v>ene</v>
      </c>
    </row>
    <row r="73" spans="1:1" x14ac:dyDescent="0.25">
      <c r="A73" s="3" t="str">
        <f t="shared" si="3"/>
        <v>ene</v>
      </c>
    </row>
    <row r="74" spans="1:1" x14ac:dyDescent="0.25">
      <c r="A74" s="3" t="str">
        <f t="shared" si="3"/>
        <v>ene</v>
      </c>
    </row>
    <row r="75" spans="1:1" x14ac:dyDescent="0.25">
      <c r="A75" s="3" t="str">
        <f t="shared" si="3"/>
        <v>ene</v>
      </c>
    </row>
    <row r="76" spans="1:1" x14ac:dyDescent="0.25">
      <c r="A76" s="3" t="str">
        <f t="shared" si="3"/>
        <v>ene</v>
      </c>
    </row>
    <row r="77" spans="1:1" x14ac:dyDescent="0.25">
      <c r="A77" s="3" t="str">
        <f t="shared" si="3"/>
        <v>ene</v>
      </c>
    </row>
    <row r="78" spans="1:1" x14ac:dyDescent="0.25">
      <c r="A78" s="3" t="str">
        <f t="shared" si="3"/>
        <v>ene</v>
      </c>
    </row>
    <row r="79" spans="1:1" x14ac:dyDescent="0.25">
      <c r="A79" s="3" t="str">
        <f t="shared" si="3"/>
        <v>ene</v>
      </c>
    </row>
    <row r="80" spans="1:1" x14ac:dyDescent="0.25">
      <c r="A80" s="3" t="str">
        <f t="shared" si="3"/>
        <v>ene</v>
      </c>
    </row>
    <row r="81" spans="1:1" x14ac:dyDescent="0.25">
      <c r="A81" s="3" t="str">
        <f t="shared" si="3"/>
        <v>ene</v>
      </c>
    </row>
    <row r="82" spans="1:1" x14ac:dyDescent="0.25">
      <c r="A82" s="3" t="str">
        <f t="shared" si="3"/>
        <v>ene</v>
      </c>
    </row>
    <row r="83" spans="1:1" x14ac:dyDescent="0.25">
      <c r="A83" s="3" t="str">
        <f t="shared" si="3"/>
        <v>ene</v>
      </c>
    </row>
    <row r="84" spans="1:1" x14ac:dyDescent="0.25">
      <c r="A84" s="3" t="str">
        <f t="shared" si="3"/>
        <v>ene</v>
      </c>
    </row>
    <row r="85" spans="1:1" x14ac:dyDescent="0.25">
      <c r="A85" s="3" t="str">
        <f t="shared" si="3"/>
        <v>ene</v>
      </c>
    </row>
    <row r="86" spans="1:1" x14ac:dyDescent="0.25">
      <c r="A86" s="3" t="str">
        <f t="shared" si="3"/>
        <v>ene</v>
      </c>
    </row>
    <row r="87" spans="1:1" x14ac:dyDescent="0.25">
      <c r="A87" s="3" t="str">
        <f t="shared" si="3"/>
        <v>ene</v>
      </c>
    </row>
    <row r="88" spans="1:1" x14ac:dyDescent="0.25">
      <c r="A88" s="3" t="str">
        <f t="shared" si="3"/>
        <v>ene</v>
      </c>
    </row>
    <row r="89" spans="1:1" x14ac:dyDescent="0.25">
      <c r="A89" s="3" t="str">
        <f t="shared" si="3"/>
        <v>ene</v>
      </c>
    </row>
    <row r="90" spans="1:1" x14ac:dyDescent="0.25">
      <c r="A90" s="3" t="str">
        <f t="shared" si="3"/>
        <v>ene</v>
      </c>
    </row>
    <row r="91" spans="1:1" x14ac:dyDescent="0.25">
      <c r="A91" s="3" t="str">
        <f t="shared" si="3"/>
        <v>ene</v>
      </c>
    </row>
    <row r="92" spans="1:1" x14ac:dyDescent="0.25">
      <c r="A92" s="3" t="str">
        <f t="shared" si="3"/>
        <v>ene</v>
      </c>
    </row>
    <row r="93" spans="1:1" x14ac:dyDescent="0.25">
      <c r="A93" s="3" t="str">
        <f t="shared" si="3"/>
        <v>ene</v>
      </c>
    </row>
    <row r="94" spans="1:1" x14ac:dyDescent="0.25">
      <c r="A94" s="3" t="str">
        <f t="shared" si="3"/>
        <v>ene</v>
      </c>
    </row>
    <row r="95" spans="1:1" x14ac:dyDescent="0.25">
      <c r="A95" s="3" t="str">
        <f t="shared" si="3"/>
        <v>ene</v>
      </c>
    </row>
    <row r="96" spans="1:1" x14ac:dyDescent="0.25">
      <c r="A96" s="3" t="str">
        <f t="shared" si="3"/>
        <v>ene</v>
      </c>
    </row>
    <row r="97" spans="1:1" x14ac:dyDescent="0.25">
      <c r="A97" s="3" t="str">
        <f t="shared" si="3"/>
        <v>ene</v>
      </c>
    </row>
    <row r="98" spans="1:1" x14ac:dyDescent="0.25">
      <c r="A98" s="3" t="str">
        <f t="shared" si="3"/>
        <v>ene</v>
      </c>
    </row>
    <row r="99" spans="1:1" x14ac:dyDescent="0.25">
      <c r="A99" s="3" t="str">
        <f t="shared" si="3"/>
        <v>ene</v>
      </c>
    </row>
    <row r="100" spans="1:1" x14ac:dyDescent="0.25">
      <c r="A100" s="3" t="str">
        <f t="shared" si="3"/>
        <v>ene</v>
      </c>
    </row>
    <row r="101" spans="1:1" x14ac:dyDescent="0.25">
      <c r="A101" s="3" t="str">
        <f t="shared" si="3"/>
        <v>ene</v>
      </c>
    </row>
    <row r="102" spans="1:1" x14ac:dyDescent="0.25">
      <c r="A102" s="3" t="str">
        <f t="shared" si="3"/>
        <v>ene</v>
      </c>
    </row>
    <row r="103" spans="1:1" x14ac:dyDescent="0.25">
      <c r="A103" s="3" t="str">
        <f t="shared" si="3"/>
        <v>ene</v>
      </c>
    </row>
    <row r="104" spans="1:1" x14ac:dyDescent="0.25">
      <c r="A104" s="3" t="str">
        <f t="shared" si="3"/>
        <v>ene</v>
      </c>
    </row>
    <row r="105" spans="1:1" x14ac:dyDescent="0.25">
      <c r="A105" s="3" t="str">
        <f t="shared" si="3"/>
        <v>ene</v>
      </c>
    </row>
    <row r="106" spans="1:1" x14ac:dyDescent="0.25">
      <c r="A106" s="3" t="str">
        <f t="shared" si="3"/>
        <v>ene</v>
      </c>
    </row>
    <row r="107" spans="1:1" x14ac:dyDescent="0.25">
      <c r="A107" s="3" t="str">
        <f t="shared" si="3"/>
        <v>ene</v>
      </c>
    </row>
    <row r="108" spans="1:1" x14ac:dyDescent="0.25">
      <c r="A108" s="3" t="str">
        <f t="shared" si="3"/>
        <v>ene</v>
      </c>
    </row>
    <row r="109" spans="1:1" x14ac:dyDescent="0.25">
      <c r="A109" s="3" t="str">
        <f t="shared" si="3"/>
        <v>ene</v>
      </c>
    </row>
    <row r="110" spans="1:1" x14ac:dyDescent="0.25">
      <c r="A110" s="3" t="str">
        <f t="shared" si="3"/>
        <v>ene</v>
      </c>
    </row>
    <row r="111" spans="1:1" x14ac:dyDescent="0.25">
      <c r="A111" s="3" t="str">
        <f t="shared" si="3"/>
        <v>ene</v>
      </c>
    </row>
    <row r="112" spans="1:1" x14ac:dyDescent="0.25">
      <c r="A112" s="3" t="str">
        <f t="shared" si="3"/>
        <v>ene</v>
      </c>
    </row>
    <row r="113" spans="1:1" x14ac:dyDescent="0.25">
      <c r="A113" s="3" t="str">
        <f t="shared" si="3"/>
        <v>ene</v>
      </c>
    </row>
    <row r="114" spans="1:1" x14ac:dyDescent="0.25">
      <c r="A114" s="3" t="str">
        <f t="shared" si="3"/>
        <v>ene</v>
      </c>
    </row>
    <row r="115" spans="1:1" x14ac:dyDescent="0.25">
      <c r="A115" s="3" t="str">
        <f t="shared" si="3"/>
        <v>ene</v>
      </c>
    </row>
    <row r="116" spans="1:1" x14ac:dyDescent="0.25">
      <c r="A116" s="3" t="str">
        <f t="shared" si="3"/>
        <v>ene</v>
      </c>
    </row>
    <row r="117" spans="1:1" x14ac:dyDescent="0.25">
      <c r="A117" s="3" t="str">
        <f t="shared" si="3"/>
        <v>ene</v>
      </c>
    </row>
    <row r="118" spans="1:1" x14ac:dyDescent="0.25">
      <c r="A118" s="3" t="str">
        <f t="shared" si="3"/>
        <v>ene</v>
      </c>
    </row>
    <row r="119" spans="1:1" x14ac:dyDescent="0.25">
      <c r="A119" s="3" t="str">
        <f t="shared" si="3"/>
        <v>ene</v>
      </c>
    </row>
    <row r="120" spans="1:1" x14ac:dyDescent="0.25">
      <c r="A120" s="3" t="str">
        <f t="shared" si="3"/>
        <v>ene</v>
      </c>
    </row>
    <row r="121" spans="1:1" x14ac:dyDescent="0.25">
      <c r="A121" s="3" t="str">
        <f t="shared" si="3"/>
        <v>ene</v>
      </c>
    </row>
    <row r="122" spans="1:1" x14ac:dyDescent="0.25">
      <c r="A122" s="3" t="str">
        <f t="shared" si="3"/>
        <v>ene</v>
      </c>
    </row>
    <row r="123" spans="1:1" x14ac:dyDescent="0.25">
      <c r="A123" s="3" t="str">
        <f t="shared" si="3"/>
        <v>ene</v>
      </c>
    </row>
    <row r="124" spans="1:1" x14ac:dyDescent="0.25">
      <c r="A124" s="3" t="str">
        <f t="shared" si="3"/>
        <v>ene</v>
      </c>
    </row>
    <row r="125" spans="1:1" x14ac:dyDescent="0.25">
      <c r="A125" s="3" t="str">
        <f t="shared" si="3"/>
        <v>ene</v>
      </c>
    </row>
    <row r="126" spans="1:1" x14ac:dyDescent="0.25">
      <c r="A126" s="3" t="str">
        <f t="shared" si="3"/>
        <v>ene</v>
      </c>
    </row>
    <row r="127" spans="1:1" x14ac:dyDescent="0.25">
      <c r="A127" s="3" t="str">
        <f t="shared" si="3"/>
        <v>ene</v>
      </c>
    </row>
    <row r="128" spans="1:1" x14ac:dyDescent="0.25">
      <c r="A128" s="3" t="str">
        <f t="shared" si="3"/>
        <v>ene</v>
      </c>
    </row>
    <row r="129" spans="1:1" x14ac:dyDescent="0.25">
      <c r="A129" s="3" t="str">
        <f t="shared" si="3"/>
        <v>ene</v>
      </c>
    </row>
    <row r="130" spans="1:1" x14ac:dyDescent="0.25">
      <c r="A130" s="3" t="str">
        <f t="shared" si="3"/>
        <v>ene</v>
      </c>
    </row>
    <row r="131" spans="1:1" x14ac:dyDescent="0.25">
      <c r="A131" s="3" t="str">
        <f t="shared" si="3"/>
        <v>ene</v>
      </c>
    </row>
    <row r="132" spans="1:1" x14ac:dyDescent="0.25">
      <c r="A132" s="3" t="str">
        <f t="shared" si="3"/>
        <v>ene</v>
      </c>
    </row>
    <row r="133" spans="1:1" x14ac:dyDescent="0.25">
      <c r="A133" s="3" t="str">
        <f t="shared" si="3"/>
        <v>ene</v>
      </c>
    </row>
    <row r="134" spans="1:1" x14ac:dyDescent="0.25">
      <c r="A134" s="3" t="str">
        <f t="shared" ref="A134:A197" si="4">TEXT($D134,"mmm")</f>
        <v>ene</v>
      </c>
    </row>
    <row r="135" spans="1:1" x14ac:dyDescent="0.25">
      <c r="A135" s="3" t="str">
        <f t="shared" si="4"/>
        <v>ene</v>
      </c>
    </row>
    <row r="136" spans="1:1" x14ac:dyDescent="0.25">
      <c r="A136" s="3" t="str">
        <f t="shared" si="4"/>
        <v>ene</v>
      </c>
    </row>
    <row r="137" spans="1:1" x14ac:dyDescent="0.25">
      <c r="A137" s="3" t="str">
        <f t="shared" si="4"/>
        <v>ene</v>
      </c>
    </row>
    <row r="138" spans="1:1" x14ac:dyDescent="0.25">
      <c r="A138" s="3" t="str">
        <f t="shared" si="4"/>
        <v>ene</v>
      </c>
    </row>
    <row r="139" spans="1:1" x14ac:dyDescent="0.25">
      <c r="A139" s="3" t="str">
        <f t="shared" si="4"/>
        <v>ene</v>
      </c>
    </row>
    <row r="140" spans="1:1" x14ac:dyDescent="0.25">
      <c r="A140" s="3" t="str">
        <f t="shared" si="4"/>
        <v>ene</v>
      </c>
    </row>
    <row r="141" spans="1:1" x14ac:dyDescent="0.25">
      <c r="A141" s="3" t="str">
        <f t="shared" si="4"/>
        <v>ene</v>
      </c>
    </row>
    <row r="142" spans="1:1" x14ac:dyDescent="0.25">
      <c r="A142" s="3" t="str">
        <f t="shared" si="4"/>
        <v>ene</v>
      </c>
    </row>
    <row r="143" spans="1:1" x14ac:dyDescent="0.25">
      <c r="A143" s="3" t="str">
        <f t="shared" si="4"/>
        <v>ene</v>
      </c>
    </row>
    <row r="144" spans="1:1" x14ac:dyDescent="0.25">
      <c r="A144" s="3" t="str">
        <f t="shared" si="4"/>
        <v>ene</v>
      </c>
    </row>
    <row r="145" spans="1:1" x14ac:dyDescent="0.25">
      <c r="A145" s="3" t="str">
        <f t="shared" si="4"/>
        <v>ene</v>
      </c>
    </row>
    <row r="146" spans="1:1" x14ac:dyDescent="0.25">
      <c r="A146" s="3" t="str">
        <f t="shared" si="4"/>
        <v>ene</v>
      </c>
    </row>
    <row r="147" spans="1:1" x14ac:dyDescent="0.25">
      <c r="A147" s="3" t="str">
        <f t="shared" si="4"/>
        <v>ene</v>
      </c>
    </row>
    <row r="148" spans="1:1" x14ac:dyDescent="0.25">
      <c r="A148" s="3" t="str">
        <f t="shared" si="4"/>
        <v>ene</v>
      </c>
    </row>
    <row r="149" spans="1:1" x14ac:dyDescent="0.25">
      <c r="A149" s="3" t="str">
        <f t="shared" si="4"/>
        <v>ene</v>
      </c>
    </row>
    <row r="150" spans="1:1" x14ac:dyDescent="0.25">
      <c r="A150" s="3" t="str">
        <f t="shared" si="4"/>
        <v>ene</v>
      </c>
    </row>
    <row r="151" spans="1:1" x14ac:dyDescent="0.25">
      <c r="A151" s="3" t="str">
        <f t="shared" si="4"/>
        <v>ene</v>
      </c>
    </row>
    <row r="152" spans="1:1" x14ac:dyDescent="0.25">
      <c r="A152" s="3" t="str">
        <f t="shared" si="4"/>
        <v>ene</v>
      </c>
    </row>
    <row r="153" spans="1:1" x14ac:dyDescent="0.25">
      <c r="A153" s="3" t="str">
        <f t="shared" si="4"/>
        <v>ene</v>
      </c>
    </row>
    <row r="154" spans="1:1" x14ac:dyDescent="0.25">
      <c r="A154" s="3" t="str">
        <f t="shared" si="4"/>
        <v>ene</v>
      </c>
    </row>
    <row r="155" spans="1:1" x14ac:dyDescent="0.25">
      <c r="A155" s="3" t="str">
        <f t="shared" si="4"/>
        <v>ene</v>
      </c>
    </row>
    <row r="156" spans="1:1" x14ac:dyDescent="0.25">
      <c r="A156" s="3" t="str">
        <f t="shared" si="4"/>
        <v>ene</v>
      </c>
    </row>
    <row r="157" spans="1:1" x14ac:dyDescent="0.25">
      <c r="A157" s="3" t="str">
        <f t="shared" si="4"/>
        <v>ene</v>
      </c>
    </row>
    <row r="158" spans="1:1" x14ac:dyDescent="0.25">
      <c r="A158" s="3" t="str">
        <f t="shared" si="4"/>
        <v>ene</v>
      </c>
    </row>
    <row r="159" spans="1:1" x14ac:dyDescent="0.25">
      <c r="A159" s="3" t="str">
        <f t="shared" si="4"/>
        <v>ene</v>
      </c>
    </row>
    <row r="160" spans="1:1" x14ac:dyDescent="0.25">
      <c r="A160" s="3" t="str">
        <f t="shared" si="4"/>
        <v>ene</v>
      </c>
    </row>
    <row r="161" spans="1:1" x14ac:dyDescent="0.25">
      <c r="A161" s="3" t="str">
        <f t="shared" si="4"/>
        <v>ene</v>
      </c>
    </row>
    <row r="162" spans="1:1" x14ac:dyDescent="0.25">
      <c r="A162" s="3" t="str">
        <f t="shared" si="4"/>
        <v>ene</v>
      </c>
    </row>
    <row r="163" spans="1:1" x14ac:dyDescent="0.25">
      <c r="A163" s="3" t="str">
        <f t="shared" si="4"/>
        <v>ene</v>
      </c>
    </row>
    <row r="164" spans="1:1" x14ac:dyDescent="0.25">
      <c r="A164" s="3" t="str">
        <f t="shared" si="4"/>
        <v>ene</v>
      </c>
    </row>
    <row r="165" spans="1:1" x14ac:dyDescent="0.25">
      <c r="A165" s="3" t="str">
        <f t="shared" si="4"/>
        <v>ene</v>
      </c>
    </row>
    <row r="166" spans="1:1" x14ac:dyDescent="0.25">
      <c r="A166" s="3" t="str">
        <f t="shared" si="4"/>
        <v>ene</v>
      </c>
    </row>
    <row r="167" spans="1:1" x14ac:dyDescent="0.25">
      <c r="A167" s="3" t="str">
        <f t="shared" si="4"/>
        <v>ene</v>
      </c>
    </row>
    <row r="168" spans="1:1" x14ac:dyDescent="0.25">
      <c r="A168" s="3" t="str">
        <f t="shared" si="4"/>
        <v>ene</v>
      </c>
    </row>
    <row r="169" spans="1:1" x14ac:dyDescent="0.25">
      <c r="A169" s="3" t="str">
        <f t="shared" si="4"/>
        <v>ene</v>
      </c>
    </row>
    <row r="170" spans="1:1" x14ac:dyDescent="0.25">
      <c r="A170" s="3" t="str">
        <f t="shared" si="4"/>
        <v>ene</v>
      </c>
    </row>
    <row r="171" spans="1:1" x14ac:dyDescent="0.25">
      <c r="A171" s="3" t="str">
        <f t="shared" si="4"/>
        <v>ene</v>
      </c>
    </row>
    <row r="172" spans="1:1" x14ac:dyDescent="0.25">
      <c r="A172" s="3" t="str">
        <f t="shared" si="4"/>
        <v>ene</v>
      </c>
    </row>
    <row r="173" spans="1:1" x14ac:dyDescent="0.25">
      <c r="A173" s="3" t="str">
        <f t="shared" si="4"/>
        <v>ene</v>
      </c>
    </row>
    <row r="174" spans="1:1" x14ac:dyDescent="0.25">
      <c r="A174" s="3" t="str">
        <f t="shared" si="4"/>
        <v>ene</v>
      </c>
    </row>
    <row r="175" spans="1:1" x14ac:dyDescent="0.25">
      <c r="A175" s="3" t="str">
        <f t="shared" si="4"/>
        <v>ene</v>
      </c>
    </row>
    <row r="176" spans="1:1" x14ac:dyDescent="0.25">
      <c r="A176" s="3" t="str">
        <f t="shared" si="4"/>
        <v>ene</v>
      </c>
    </row>
    <row r="177" spans="1:1" x14ac:dyDescent="0.25">
      <c r="A177" s="3" t="str">
        <f t="shared" si="4"/>
        <v>ene</v>
      </c>
    </row>
    <row r="178" spans="1:1" x14ac:dyDescent="0.25">
      <c r="A178" s="3" t="str">
        <f t="shared" si="4"/>
        <v>ene</v>
      </c>
    </row>
    <row r="179" spans="1:1" x14ac:dyDescent="0.25">
      <c r="A179" s="3" t="str">
        <f t="shared" si="4"/>
        <v>ene</v>
      </c>
    </row>
    <row r="180" spans="1:1" x14ac:dyDescent="0.25">
      <c r="A180" s="3" t="str">
        <f t="shared" si="4"/>
        <v>ene</v>
      </c>
    </row>
    <row r="181" spans="1:1" x14ac:dyDescent="0.25">
      <c r="A181" s="3" t="str">
        <f t="shared" si="4"/>
        <v>ene</v>
      </c>
    </row>
    <row r="182" spans="1:1" x14ac:dyDescent="0.25">
      <c r="A182" s="3" t="str">
        <f t="shared" si="4"/>
        <v>ene</v>
      </c>
    </row>
    <row r="183" spans="1:1" x14ac:dyDescent="0.25">
      <c r="A183" s="3" t="str">
        <f t="shared" si="4"/>
        <v>ene</v>
      </c>
    </row>
    <row r="184" spans="1:1" x14ac:dyDescent="0.25">
      <c r="A184" s="3" t="str">
        <f t="shared" si="4"/>
        <v>ene</v>
      </c>
    </row>
    <row r="185" spans="1:1" x14ac:dyDescent="0.25">
      <c r="A185" s="3" t="str">
        <f t="shared" si="4"/>
        <v>ene</v>
      </c>
    </row>
    <row r="186" spans="1:1" x14ac:dyDescent="0.25">
      <c r="A186" s="3" t="str">
        <f t="shared" si="4"/>
        <v>ene</v>
      </c>
    </row>
    <row r="187" spans="1:1" x14ac:dyDescent="0.25">
      <c r="A187" s="3" t="str">
        <f t="shared" si="4"/>
        <v>ene</v>
      </c>
    </row>
    <row r="188" spans="1:1" x14ac:dyDescent="0.25">
      <c r="A188" s="3" t="str">
        <f t="shared" si="4"/>
        <v>ene</v>
      </c>
    </row>
    <row r="189" spans="1:1" x14ac:dyDescent="0.25">
      <c r="A189" s="3" t="str">
        <f t="shared" si="4"/>
        <v>ene</v>
      </c>
    </row>
    <row r="190" spans="1:1" x14ac:dyDescent="0.25">
      <c r="A190" s="3" t="str">
        <f t="shared" si="4"/>
        <v>ene</v>
      </c>
    </row>
    <row r="191" spans="1:1" x14ac:dyDescent="0.25">
      <c r="A191" s="3" t="str">
        <f t="shared" si="4"/>
        <v>ene</v>
      </c>
    </row>
    <row r="192" spans="1:1" x14ac:dyDescent="0.25">
      <c r="A192" s="3" t="str">
        <f t="shared" si="4"/>
        <v>ene</v>
      </c>
    </row>
    <row r="193" spans="1:1" x14ac:dyDescent="0.25">
      <c r="A193" s="3" t="str">
        <f t="shared" si="4"/>
        <v>ene</v>
      </c>
    </row>
    <row r="194" spans="1:1" x14ac:dyDescent="0.25">
      <c r="A194" s="3" t="str">
        <f t="shared" si="4"/>
        <v>ene</v>
      </c>
    </row>
    <row r="195" spans="1:1" x14ac:dyDescent="0.25">
      <c r="A195" s="3" t="str">
        <f t="shared" si="4"/>
        <v>ene</v>
      </c>
    </row>
    <row r="196" spans="1:1" x14ac:dyDescent="0.25">
      <c r="A196" s="3" t="str">
        <f t="shared" si="4"/>
        <v>ene</v>
      </c>
    </row>
    <row r="197" spans="1:1" x14ac:dyDescent="0.25">
      <c r="A197" s="3" t="str">
        <f t="shared" si="4"/>
        <v>ene</v>
      </c>
    </row>
    <row r="198" spans="1:1" x14ac:dyDescent="0.25">
      <c r="A198" s="3" t="str">
        <f t="shared" ref="A198:A261" si="5">TEXT($D198,"mmm")</f>
        <v>ene</v>
      </c>
    </row>
    <row r="199" spans="1:1" x14ac:dyDescent="0.25">
      <c r="A199" s="3" t="str">
        <f t="shared" si="5"/>
        <v>ene</v>
      </c>
    </row>
    <row r="200" spans="1:1" x14ac:dyDescent="0.25">
      <c r="A200" s="3" t="str">
        <f t="shared" si="5"/>
        <v>ene</v>
      </c>
    </row>
    <row r="201" spans="1:1" x14ac:dyDescent="0.25">
      <c r="A201" s="3" t="str">
        <f t="shared" si="5"/>
        <v>ene</v>
      </c>
    </row>
    <row r="202" spans="1:1" x14ac:dyDescent="0.25">
      <c r="A202" s="3" t="str">
        <f t="shared" si="5"/>
        <v>ene</v>
      </c>
    </row>
    <row r="203" spans="1:1" x14ac:dyDescent="0.25">
      <c r="A203" s="3" t="str">
        <f t="shared" si="5"/>
        <v>ene</v>
      </c>
    </row>
    <row r="204" spans="1:1" x14ac:dyDescent="0.25">
      <c r="A204" s="3" t="str">
        <f t="shared" si="5"/>
        <v>ene</v>
      </c>
    </row>
    <row r="205" spans="1:1" x14ac:dyDescent="0.25">
      <c r="A205" s="3" t="str">
        <f t="shared" si="5"/>
        <v>ene</v>
      </c>
    </row>
    <row r="206" spans="1:1" x14ac:dyDescent="0.25">
      <c r="A206" s="3" t="str">
        <f t="shared" si="5"/>
        <v>ene</v>
      </c>
    </row>
    <row r="207" spans="1:1" x14ac:dyDescent="0.25">
      <c r="A207" s="3" t="str">
        <f t="shared" si="5"/>
        <v>ene</v>
      </c>
    </row>
    <row r="208" spans="1:1" x14ac:dyDescent="0.25">
      <c r="A208" s="3" t="str">
        <f t="shared" si="5"/>
        <v>ene</v>
      </c>
    </row>
    <row r="209" spans="1:1" x14ac:dyDescent="0.25">
      <c r="A209" s="3" t="str">
        <f t="shared" si="5"/>
        <v>ene</v>
      </c>
    </row>
    <row r="210" spans="1:1" x14ac:dyDescent="0.25">
      <c r="A210" s="3" t="str">
        <f t="shared" si="5"/>
        <v>ene</v>
      </c>
    </row>
    <row r="211" spans="1:1" x14ac:dyDescent="0.25">
      <c r="A211" s="3" t="str">
        <f t="shared" si="5"/>
        <v>ene</v>
      </c>
    </row>
    <row r="212" spans="1:1" x14ac:dyDescent="0.25">
      <c r="A212" s="3" t="str">
        <f t="shared" si="5"/>
        <v>ene</v>
      </c>
    </row>
    <row r="213" spans="1:1" x14ac:dyDescent="0.25">
      <c r="A213" s="3" t="str">
        <f t="shared" si="5"/>
        <v>ene</v>
      </c>
    </row>
    <row r="214" spans="1:1" x14ac:dyDescent="0.25">
      <c r="A214" s="3" t="str">
        <f t="shared" si="5"/>
        <v>ene</v>
      </c>
    </row>
    <row r="215" spans="1:1" x14ac:dyDescent="0.25">
      <c r="A215" s="3" t="str">
        <f t="shared" si="5"/>
        <v>ene</v>
      </c>
    </row>
    <row r="216" spans="1:1" x14ac:dyDescent="0.25">
      <c r="A216" s="3" t="str">
        <f t="shared" si="5"/>
        <v>ene</v>
      </c>
    </row>
    <row r="217" spans="1:1" x14ac:dyDescent="0.25">
      <c r="A217" s="3" t="str">
        <f t="shared" si="5"/>
        <v>ene</v>
      </c>
    </row>
    <row r="218" spans="1:1" x14ac:dyDescent="0.25">
      <c r="A218" s="3" t="str">
        <f t="shared" si="5"/>
        <v>ene</v>
      </c>
    </row>
    <row r="219" spans="1:1" x14ac:dyDescent="0.25">
      <c r="A219" s="3" t="str">
        <f t="shared" si="5"/>
        <v>ene</v>
      </c>
    </row>
    <row r="220" spans="1:1" x14ac:dyDescent="0.25">
      <c r="A220" s="3" t="str">
        <f t="shared" si="5"/>
        <v>ene</v>
      </c>
    </row>
    <row r="221" spans="1:1" x14ac:dyDescent="0.25">
      <c r="A221" s="3" t="str">
        <f t="shared" si="5"/>
        <v>ene</v>
      </c>
    </row>
    <row r="222" spans="1:1" x14ac:dyDescent="0.25">
      <c r="A222" s="3" t="str">
        <f t="shared" si="5"/>
        <v>ene</v>
      </c>
    </row>
    <row r="223" spans="1:1" x14ac:dyDescent="0.25">
      <c r="A223" s="3" t="str">
        <f t="shared" si="5"/>
        <v>ene</v>
      </c>
    </row>
    <row r="224" spans="1:1" x14ac:dyDescent="0.25">
      <c r="A224" s="3" t="str">
        <f t="shared" si="5"/>
        <v>ene</v>
      </c>
    </row>
    <row r="225" spans="1:1" x14ac:dyDescent="0.25">
      <c r="A225" s="3" t="str">
        <f t="shared" si="5"/>
        <v>ene</v>
      </c>
    </row>
    <row r="226" spans="1:1" x14ac:dyDescent="0.25">
      <c r="A226" s="3" t="str">
        <f t="shared" si="5"/>
        <v>ene</v>
      </c>
    </row>
    <row r="227" spans="1:1" x14ac:dyDescent="0.25">
      <c r="A227" s="3" t="str">
        <f t="shared" si="5"/>
        <v>ene</v>
      </c>
    </row>
    <row r="228" spans="1:1" x14ac:dyDescent="0.25">
      <c r="A228" s="3" t="str">
        <f t="shared" si="5"/>
        <v>ene</v>
      </c>
    </row>
    <row r="229" spans="1:1" x14ac:dyDescent="0.25">
      <c r="A229" s="3" t="str">
        <f t="shared" si="5"/>
        <v>ene</v>
      </c>
    </row>
    <row r="230" spans="1:1" x14ac:dyDescent="0.25">
      <c r="A230" s="3" t="str">
        <f t="shared" si="5"/>
        <v>ene</v>
      </c>
    </row>
    <row r="231" spans="1:1" x14ac:dyDescent="0.25">
      <c r="A231" s="3" t="str">
        <f t="shared" si="5"/>
        <v>ene</v>
      </c>
    </row>
    <row r="232" spans="1:1" x14ac:dyDescent="0.25">
      <c r="A232" s="3" t="str">
        <f t="shared" si="5"/>
        <v>ene</v>
      </c>
    </row>
    <row r="233" spans="1:1" x14ac:dyDescent="0.25">
      <c r="A233" s="3" t="str">
        <f t="shared" si="5"/>
        <v>ene</v>
      </c>
    </row>
    <row r="234" spans="1:1" x14ac:dyDescent="0.25">
      <c r="A234" s="3" t="str">
        <f t="shared" si="5"/>
        <v>ene</v>
      </c>
    </row>
    <row r="235" spans="1:1" x14ac:dyDescent="0.25">
      <c r="A235" s="3" t="str">
        <f t="shared" si="5"/>
        <v>ene</v>
      </c>
    </row>
    <row r="236" spans="1:1" x14ac:dyDescent="0.25">
      <c r="A236" s="3" t="str">
        <f t="shared" si="5"/>
        <v>ene</v>
      </c>
    </row>
    <row r="237" spans="1:1" x14ac:dyDescent="0.25">
      <c r="A237" s="3" t="str">
        <f t="shared" si="5"/>
        <v>ene</v>
      </c>
    </row>
    <row r="238" spans="1:1" x14ac:dyDescent="0.25">
      <c r="A238" s="3" t="str">
        <f t="shared" si="5"/>
        <v>ene</v>
      </c>
    </row>
    <row r="239" spans="1:1" x14ac:dyDescent="0.25">
      <c r="A239" s="3" t="str">
        <f t="shared" si="5"/>
        <v>ene</v>
      </c>
    </row>
    <row r="240" spans="1:1" x14ac:dyDescent="0.25">
      <c r="A240" s="3" t="str">
        <f t="shared" si="5"/>
        <v>ene</v>
      </c>
    </row>
    <row r="241" spans="1:1" x14ac:dyDescent="0.25">
      <c r="A241" s="3" t="str">
        <f t="shared" si="5"/>
        <v>ene</v>
      </c>
    </row>
    <row r="242" spans="1:1" x14ac:dyDescent="0.25">
      <c r="A242" s="3" t="str">
        <f t="shared" si="5"/>
        <v>ene</v>
      </c>
    </row>
    <row r="243" spans="1:1" x14ac:dyDescent="0.25">
      <c r="A243" s="3" t="str">
        <f t="shared" si="5"/>
        <v>ene</v>
      </c>
    </row>
    <row r="244" spans="1:1" x14ac:dyDescent="0.25">
      <c r="A244" s="3" t="str">
        <f t="shared" si="5"/>
        <v>ene</v>
      </c>
    </row>
    <row r="245" spans="1:1" x14ac:dyDescent="0.25">
      <c r="A245" s="3" t="str">
        <f t="shared" si="5"/>
        <v>ene</v>
      </c>
    </row>
    <row r="246" spans="1:1" x14ac:dyDescent="0.25">
      <c r="A246" s="3" t="str">
        <f t="shared" si="5"/>
        <v>ene</v>
      </c>
    </row>
    <row r="247" spans="1:1" x14ac:dyDescent="0.25">
      <c r="A247" s="3" t="str">
        <f t="shared" si="5"/>
        <v>ene</v>
      </c>
    </row>
    <row r="248" spans="1:1" x14ac:dyDescent="0.25">
      <c r="A248" s="3" t="str">
        <f t="shared" si="5"/>
        <v>ene</v>
      </c>
    </row>
    <row r="249" spans="1:1" x14ac:dyDescent="0.25">
      <c r="A249" s="3" t="str">
        <f t="shared" si="5"/>
        <v>ene</v>
      </c>
    </row>
    <row r="250" spans="1:1" x14ac:dyDescent="0.25">
      <c r="A250" s="3" t="str">
        <f t="shared" si="5"/>
        <v>ene</v>
      </c>
    </row>
    <row r="251" spans="1:1" x14ac:dyDescent="0.25">
      <c r="A251" s="3" t="str">
        <f t="shared" si="5"/>
        <v>ene</v>
      </c>
    </row>
    <row r="252" spans="1:1" x14ac:dyDescent="0.25">
      <c r="A252" s="3" t="str">
        <f t="shared" si="5"/>
        <v>ene</v>
      </c>
    </row>
    <row r="253" spans="1:1" x14ac:dyDescent="0.25">
      <c r="A253" s="3" t="str">
        <f t="shared" si="5"/>
        <v>ene</v>
      </c>
    </row>
    <row r="254" spans="1:1" x14ac:dyDescent="0.25">
      <c r="A254" s="3" t="str">
        <f t="shared" si="5"/>
        <v>ene</v>
      </c>
    </row>
    <row r="255" spans="1:1" x14ac:dyDescent="0.25">
      <c r="A255" s="3" t="str">
        <f t="shared" si="5"/>
        <v>ene</v>
      </c>
    </row>
    <row r="256" spans="1:1" x14ac:dyDescent="0.25">
      <c r="A256" s="3" t="str">
        <f t="shared" si="5"/>
        <v>ene</v>
      </c>
    </row>
    <row r="257" spans="1:1" x14ac:dyDescent="0.25">
      <c r="A257" s="3" t="str">
        <f t="shared" si="5"/>
        <v>ene</v>
      </c>
    </row>
    <row r="258" spans="1:1" x14ac:dyDescent="0.25">
      <c r="A258" s="3" t="str">
        <f t="shared" si="5"/>
        <v>ene</v>
      </c>
    </row>
    <row r="259" spans="1:1" x14ac:dyDescent="0.25">
      <c r="A259" s="3" t="str">
        <f t="shared" si="5"/>
        <v>ene</v>
      </c>
    </row>
    <row r="260" spans="1:1" x14ac:dyDescent="0.25">
      <c r="A260" s="3" t="str">
        <f t="shared" si="5"/>
        <v>ene</v>
      </c>
    </row>
    <row r="261" spans="1:1" x14ac:dyDescent="0.25">
      <c r="A261" s="3" t="str">
        <f t="shared" si="5"/>
        <v>ene</v>
      </c>
    </row>
    <row r="262" spans="1:1" x14ac:dyDescent="0.25">
      <c r="A262" s="3" t="str">
        <f t="shared" ref="A262:A325" si="6">TEXT($D262,"mmm")</f>
        <v>ene</v>
      </c>
    </row>
    <row r="263" spans="1:1" x14ac:dyDescent="0.25">
      <c r="A263" s="3" t="str">
        <f t="shared" si="6"/>
        <v>ene</v>
      </c>
    </row>
    <row r="264" spans="1:1" x14ac:dyDescent="0.25">
      <c r="A264" s="3" t="str">
        <f t="shared" si="6"/>
        <v>ene</v>
      </c>
    </row>
    <row r="265" spans="1:1" x14ac:dyDescent="0.25">
      <c r="A265" s="3" t="str">
        <f t="shared" si="6"/>
        <v>ene</v>
      </c>
    </row>
    <row r="266" spans="1:1" x14ac:dyDescent="0.25">
      <c r="A266" s="3" t="str">
        <f t="shared" si="6"/>
        <v>ene</v>
      </c>
    </row>
    <row r="267" spans="1:1" x14ac:dyDescent="0.25">
      <c r="A267" s="3" t="str">
        <f t="shared" si="6"/>
        <v>ene</v>
      </c>
    </row>
    <row r="268" spans="1:1" x14ac:dyDescent="0.25">
      <c r="A268" s="3" t="str">
        <f t="shared" si="6"/>
        <v>ene</v>
      </c>
    </row>
    <row r="269" spans="1:1" x14ac:dyDescent="0.25">
      <c r="A269" s="3" t="str">
        <f t="shared" si="6"/>
        <v>ene</v>
      </c>
    </row>
    <row r="270" spans="1:1" x14ac:dyDescent="0.25">
      <c r="A270" s="3" t="str">
        <f t="shared" si="6"/>
        <v>ene</v>
      </c>
    </row>
    <row r="271" spans="1:1" x14ac:dyDescent="0.25">
      <c r="A271" s="3" t="str">
        <f t="shared" si="6"/>
        <v>ene</v>
      </c>
    </row>
    <row r="272" spans="1:1" x14ac:dyDescent="0.25">
      <c r="A272" s="3" t="str">
        <f t="shared" si="6"/>
        <v>ene</v>
      </c>
    </row>
    <row r="273" spans="1:1" x14ac:dyDescent="0.25">
      <c r="A273" s="3" t="str">
        <f t="shared" si="6"/>
        <v>ene</v>
      </c>
    </row>
    <row r="274" spans="1:1" x14ac:dyDescent="0.25">
      <c r="A274" s="3" t="str">
        <f t="shared" si="6"/>
        <v>ene</v>
      </c>
    </row>
    <row r="275" spans="1:1" x14ac:dyDescent="0.25">
      <c r="A275" s="3" t="str">
        <f t="shared" si="6"/>
        <v>ene</v>
      </c>
    </row>
    <row r="276" spans="1:1" x14ac:dyDescent="0.25">
      <c r="A276" s="3" t="str">
        <f t="shared" si="6"/>
        <v>ene</v>
      </c>
    </row>
    <row r="277" spans="1:1" x14ac:dyDescent="0.25">
      <c r="A277" s="3" t="str">
        <f t="shared" si="6"/>
        <v>ene</v>
      </c>
    </row>
    <row r="278" spans="1:1" x14ac:dyDescent="0.25">
      <c r="A278" s="3" t="str">
        <f t="shared" si="6"/>
        <v>ene</v>
      </c>
    </row>
    <row r="279" spans="1:1" x14ac:dyDescent="0.25">
      <c r="A279" s="3" t="str">
        <f t="shared" si="6"/>
        <v>ene</v>
      </c>
    </row>
    <row r="280" spans="1:1" x14ac:dyDescent="0.25">
      <c r="A280" s="3" t="str">
        <f t="shared" si="6"/>
        <v>ene</v>
      </c>
    </row>
    <row r="281" spans="1:1" x14ac:dyDescent="0.25">
      <c r="A281" s="3" t="str">
        <f t="shared" si="6"/>
        <v>ene</v>
      </c>
    </row>
    <row r="282" spans="1:1" x14ac:dyDescent="0.25">
      <c r="A282" s="3" t="str">
        <f t="shared" si="6"/>
        <v>ene</v>
      </c>
    </row>
    <row r="283" spans="1:1" x14ac:dyDescent="0.25">
      <c r="A283" s="3" t="str">
        <f t="shared" si="6"/>
        <v>ene</v>
      </c>
    </row>
    <row r="284" spans="1:1" x14ac:dyDescent="0.25">
      <c r="A284" s="3" t="str">
        <f t="shared" si="6"/>
        <v>ene</v>
      </c>
    </row>
    <row r="285" spans="1:1" x14ac:dyDescent="0.25">
      <c r="A285" s="3" t="str">
        <f t="shared" si="6"/>
        <v>ene</v>
      </c>
    </row>
    <row r="286" spans="1:1" x14ac:dyDescent="0.25">
      <c r="A286" s="3" t="str">
        <f t="shared" si="6"/>
        <v>ene</v>
      </c>
    </row>
    <row r="287" spans="1:1" x14ac:dyDescent="0.25">
      <c r="A287" s="3" t="str">
        <f t="shared" si="6"/>
        <v>ene</v>
      </c>
    </row>
    <row r="288" spans="1:1" x14ac:dyDescent="0.25">
      <c r="A288" s="3" t="str">
        <f t="shared" si="6"/>
        <v>ene</v>
      </c>
    </row>
    <row r="289" spans="1:1" x14ac:dyDescent="0.25">
      <c r="A289" s="3" t="str">
        <f t="shared" si="6"/>
        <v>ene</v>
      </c>
    </row>
    <row r="290" spans="1:1" x14ac:dyDescent="0.25">
      <c r="A290" s="3" t="str">
        <f t="shared" si="6"/>
        <v>ene</v>
      </c>
    </row>
    <row r="291" spans="1:1" x14ac:dyDescent="0.25">
      <c r="A291" s="3" t="str">
        <f t="shared" si="6"/>
        <v>ene</v>
      </c>
    </row>
    <row r="292" spans="1:1" x14ac:dyDescent="0.25">
      <c r="A292" s="3" t="str">
        <f t="shared" si="6"/>
        <v>ene</v>
      </c>
    </row>
    <row r="293" spans="1:1" x14ac:dyDescent="0.25">
      <c r="A293" s="3" t="str">
        <f t="shared" si="6"/>
        <v>ene</v>
      </c>
    </row>
    <row r="294" spans="1:1" x14ac:dyDescent="0.25">
      <c r="A294" s="3" t="str">
        <f t="shared" si="6"/>
        <v>ene</v>
      </c>
    </row>
    <row r="295" spans="1:1" x14ac:dyDescent="0.25">
      <c r="A295" s="3" t="str">
        <f t="shared" si="6"/>
        <v>ene</v>
      </c>
    </row>
    <row r="296" spans="1:1" x14ac:dyDescent="0.25">
      <c r="A296" s="3" t="str">
        <f t="shared" si="6"/>
        <v>ene</v>
      </c>
    </row>
    <row r="297" spans="1:1" x14ac:dyDescent="0.25">
      <c r="A297" s="3" t="str">
        <f t="shared" si="6"/>
        <v>ene</v>
      </c>
    </row>
    <row r="298" spans="1:1" x14ac:dyDescent="0.25">
      <c r="A298" s="3" t="str">
        <f t="shared" si="6"/>
        <v>ene</v>
      </c>
    </row>
    <row r="299" spans="1:1" x14ac:dyDescent="0.25">
      <c r="A299" s="3" t="str">
        <f t="shared" si="6"/>
        <v>ene</v>
      </c>
    </row>
    <row r="300" spans="1:1" x14ac:dyDescent="0.25">
      <c r="A300" s="3" t="str">
        <f t="shared" si="6"/>
        <v>ene</v>
      </c>
    </row>
    <row r="301" spans="1:1" x14ac:dyDescent="0.25">
      <c r="A301" s="3" t="str">
        <f t="shared" si="6"/>
        <v>ene</v>
      </c>
    </row>
    <row r="302" spans="1:1" x14ac:dyDescent="0.25">
      <c r="A302" s="3" t="str">
        <f t="shared" si="6"/>
        <v>ene</v>
      </c>
    </row>
    <row r="303" spans="1:1" x14ac:dyDescent="0.25">
      <c r="A303" s="3" t="str">
        <f t="shared" si="6"/>
        <v>ene</v>
      </c>
    </row>
    <row r="304" spans="1:1" x14ac:dyDescent="0.25">
      <c r="A304" s="3" t="str">
        <f t="shared" si="6"/>
        <v>ene</v>
      </c>
    </row>
    <row r="305" spans="1:1" x14ac:dyDescent="0.25">
      <c r="A305" s="3" t="str">
        <f t="shared" si="6"/>
        <v>ene</v>
      </c>
    </row>
    <row r="306" spans="1:1" x14ac:dyDescent="0.25">
      <c r="A306" s="3" t="str">
        <f t="shared" si="6"/>
        <v>ene</v>
      </c>
    </row>
    <row r="307" spans="1:1" x14ac:dyDescent="0.25">
      <c r="A307" s="3" t="str">
        <f t="shared" si="6"/>
        <v>ene</v>
      </c>
    </row>
    <row r="308" spans="1:1" x14ac:dyDescent="0.25">
      <c r="A308" s="3" t="str">
        <f t="shared" si="6"/>
        <v>ene</v>
      </c>
    </row>
    <row r="309" spans="1:1" x14ac:dyDescent="0.25">
      <c r="A309" s="3" t="str">
        <f t="shared" si="6"/>
        <v>ene</v>
      </c>
    </row>
    <row r="310" spans="1:1" x14ac:dyDescent="0.25">
      <c r="A310" s="3" t="str">
        <f t="shared" si="6"/>
        <v>ene</v>
      </c>
    </row>
    <row r="311" spans="1:1" x14ac:dyDescent="0.25">
      <c r="A311" s="3" t="str">
        <f t="shared" si="6"/>
        <v>ene</v>
      </c>
    </row>
    <row r="312" spans="1:1" x14ac:dyDescent="0.25">
      <c r="A312" s="3" t="str">
        <f t="shared" si="6"/>
        <v>ene</v>
      </c>
    </row>
    <row r="313" spans="1:1" x14ac:dyDescent="0.25">
      <c r="A313" s="3" t="str">
        <f t="shared" si="6"/>
        <v>ene</v>
      </c>
    </row>
    <row r="314" spans="1:1" x14ac:dyDescent="0.25">
      <c r="A314" s="3" t="str">
        <f t="shared" si="6"/>
        <v>ene</v>
      </c>
    </row>
    <row r="315" spans="1:1" x14ac:dyDescent="0.25">
      <c r="A315" s="3" t="str">
        <f t="shared" si="6"/>
        <v>ene</v>
      </c>
    </row>
    <row r="316" spans="1:1" x14ac:dyDescent="0.25">
      <c r="A316" s="3" t="str">
        <f t="shared" si="6"/>
        <v>ene</v>
      </c>
    </row>
    <row r="317" spans="1:1" x14ac:dyDescent="0.25">
      <c r="A317" s="3" t="str">
        <f t="shared" si="6"/>
        <v>ene</v>
      </c>
    </row>
    <row r="318" spans="1:1" x14ac:dyDescent="0.25">
      <c r="A318" s="3" t="str">
        <f t="shared" si="6"/>
        <v>ene</v>
      </c>
    </row>
    <row r="319" spans="1:1" x14ac:dyDescent="0.25">
      <c r="A319" s="3" t="str">
        <f t="shared" si="6"/>
        <v>ene</v>
      </c>
    </row>
    <row r="320" spans="1:1" x14ac:dyDescent="0.25">
      <c r="A320" s="3" t="str">
        <f t="shared" si="6"/>
        <v>ene</v>
      </c>
    </row>
    <row r="321" spans="1:1" x14ac:dyDescent="0.25">
      <c r="A321" s="3" t="str">
        <f t="shared" si="6"/>
        <v>ene</v>
      </c>
    </row>
    <row r="322" spans="1:1" x14ac:dyDescent="0.25">
      <c r="A322" s="3" t="str">
        <f t="shared" si="6"/>
        <v>ene</v>
      </c>
    </row>
    <row r="323" spans="1:1" x14ac:dyDescent="0.25">
      <c r="A323" s="3" t="str">
        <f t="shared" si="6"/>
        <v>ene</v>
      </c>
    </row>
    <row r="324" spans="1:1" x14ac:dyDescent="0.25">
      <c r="A324" s="3" t="str">
        <f t="shared" si="6"/>
        <v>ene</v>
      </c>
    </row>
    <row r="325" spans="1:1" x14ac:dyDescent="0.25">
      <c r="A325" s="3" t="str">
        <f t="shared" si="6"/>
        <v>ene</v>
      </c>
    </row>
    <row r="326" spans="1:1" x14ac:dyDescent="0.25">
      <c r="A326" s="3" t="str">
        <f t="shared" ref="A326:A389" si="7">TEXT($D326,"mmm")</f>
        <v>ene</v>
      </c>
    </row>
    <row r="327" spans="1:1" x14ac:dyDescent="0.25">
      <c r="A327" s="3" t="str">
        <f t="shared" si="7"/>
        <v>ene</v>
      </c>
    </row>
    <row r="328" spans="1:1" x14ac:dyDescent="0.25">
      <c r="A328" s="3" t="str">
        <f t="shared" si="7"/>
        <v>ene</v>
      </c>
    </row>
    <row r="329" spans="1:1" x14ac:dyDescent="0.25">
      <c r="A329" s="3" t="str">
        <f t="shared" si="7"/>
        <v>ene</v>
      </c>
    </row>
    <row r="330" spans="1:1" x14ac:dyDescent="0.25">
      <c r="A330" s="3" t="str">
        <f t="shared" si="7"/>
        <v>ene</v>
      </c>
    </row>
    <row r="331" spans="1:1" x14ac:dyDescent="0.25">
      <c r="A331" s="3" t="str">
        <f t="shared" si="7"/>
        <v>ene</v>
      </c>
    </row>
    <row r="332" spans="1:1" x14ac:dyDescent="0.25">
      <c r="A332" s="3" t="str">
        <f t="shared" si="7"/>
        <v>ene</v>
      </c>
    </row>
    <row r="333" spans="1:1" x14ac:dyDescent="0.25">
      <c r="A333" s="3" t="str">
        <f t="shared" si="7"/>
        <v>ene</v>
      </c>
    </row>
    <row r="334" spans="1:1" x14ac:dyDescent="0.25">
      <c r="A334" s="3" t="str">
        <f t="shared" si="7"/>
        <v>ene</v>
      </c>
    </row>
    <row r="335" spans="1:1" x14ac:dyDescent="0.25">
      <c r="A335" s="3" t="str">
        <f t="shared" si="7"/>
        <v>ene</v>
      </c>
    </row>
    <row r="336" spans="1:1" x14ac:dyDescent="0.25">
      <c r="A336" s="3" t="str">
        <f t="shared" si="7"/>
        <v>ene</v>
      </c>
    </row>
    <row r="337" spans="1:1" x14ac:dyDescent="0.25">
      <c r="A337" s="3" t="str">
        <f t="shared" si="7"/>
        <v>ene</v>
      </c>
    </row>
    <row r="338" spans="1:1" x14ac:dyDescent="0.25">
      <c r="A338" s="3" t="str">
        <f t="shared" si="7"/>
        <v>ene</v>
      </c>
    </row>
    <row r="339" spans="1:1" x14ac:dyDescent="0.25">
      <c r="A339" s="3" t="str">
        <f t="shared" si="7"/>
        <v>ene</v>
      </c>
    </row>
    <row r="340" spans="1:1" x14ac:dyDescent="0.25">
      <c r="A340" s="3" t="str">
        <f t="shared" si="7"/>
        <v>ene</v>
      </c>
    </row>
    <row r="341" spans="1:1" x14ac:dyDescent="0.25">
      <c r="A341" s="3" t="str">
        <f t="shared" si="7"/>
        <v>ene</v>
      </c>
    </row>
    <row r="342" spans="1:1" x14ac:dyDescent="0.25">
      <c r="A342" s="3" t="str">
        <f t="shared" si="7"/>
        <v>ene</v>
      </c>
    </row>
    <row r="343" spans="1:1" x14ac:dyDescent="0.25">
      <c r="A343" s="3" t="str">
        <f t="shared" si="7"/>
        <v>ene</v>
      </c>
    </row>
    <row r="344" spans="1:1" x14ac:dyDescent="0.25">
      <c r="A344" s="3" t="str">
        <f t="shared" si="7"/>
        <v>ene</v>
      </c>
    </row>
    <row r="345" spans="1:1" x14ac:dyDescent="0.25">
      <c r="A345" s="3" t="str">
        <f t="shared" si="7"/>
        <v>ene</v>
      </c>
    </row>
    <row r="346" spans="1:1" x14ac:dyDescent="0.25">
      <c r="A346" s="3" t="str">
        <f t="shared" si="7"/>
        <v>ene</v>
      </c>
    </row>
    <row r="347" spans="1:1" x14ac:dyDescent="0.25">
      <c r="A347" s="3" t="str">
        <f t="shared" si="7"/>
        <v>ene</v>
      </c>
    </row>
    <row r="348" spans="1:1" x14ac:dyDescent="0.25">
      <c r="A348" s="3" t="str">
        <f t="shared" si="7"/>
        <v>ene</v>
      </c>
    </row>
    <row r="349" spans="1:1" x14ac:dyDescent="0.25">
      <c r="A349" s="3" t="str">
        <f t="shared" si="7"/>
        <v>ene</v>
      </c>
    </row>
    <row r="350" spans="1:1" x14ac:dyDescent="0.25">
      <c r="A350" s="3" t="str">
        <f t="shared" si="7"/>
        <v>ene</v>
      </c>
    </row>
    <row r="351" spans="1:1" x14ac:dyDescent="0.25">
      <c r="A351" s="3" t="str">
        <f t="shared" si="7"/>
        <v>ene</v>
      </c>
    </row>
    <row r="352" spans="1:1" x14ac:dyDescent="0.25">
      <c r="A352" s="3" t="str">
        <f t="shared" si="7"/>
        <v>ene</v>
      </c>
    </row>
    <row r="353" spans="1:1" x14ac:dyDescent="0.25">
      <c r="A353" s="3" t="str">
        <f t="shared" si="7"/>
        <v>ene</v>
      </c>
    </row>
    <row r="354" spans="1:1" x14ac:dyDescent="0.25">
      <c r="A354" s="3" t="str">
        <f t="shared" si="7"/>
        <v>ene</v>
      </c>
    </row>
    <row r="355" spans="1:1" x14ac:dyDescent="0.25">
      <c r="A355" s="3" t="str">
        <f t="shared" si="7"/>
        <v>ene</v>
      </c>
    </row>
    <row r="356" spans="1:1" x14ac:dyDescent="0.25">
      <c r="A356" s="3" t="str">
        <f t="shared" si="7"/>
        <v>ene</v>
      </c>
    </row>
    <row r="357" spans="1:1" x14ac:dyDescent="0.25">
      <c r="A357" s="3" t="str">
        <f t="shared" si="7"/>
        <v>ene</v>
      </c>
    </row>
    <row r="358" spans="1:1" x14ac:dyDescent="0.25">
      <c r="A358" s="3" t="str">
        <f t="shared" si="7"/>
        <v>ene</v>
      </c>
    </row>
    <row r="359" spans="1:1" x14ac:dyDescent="0.25">
      <c r="A359" s="3" t="str">
        <f t="shared" si="7"/>
        <v>ene</v>
      </c>
    </row>
    <row r="360" spans="1:1" x14ac:dyDescent="0.25">
      <c r="A360" s="3" t="str">
        <f t="shared" si="7"/>
        <v>ene</v>
      </c>
    </row>
    <row r="361" spans="1:1" x14ac:dyDescent="0.25">
      <c r="A361" s="3" t="str">
        <f t="shared" si="7"/>
        <v>ene</v>
      </c>
    </row>
    <row r="362" spans="1:1" x14ac:dyDescent="0.25">
      <c r="A362" s="3" t="str">
        <f t="shared" si="7"/>
        <v>ene</v>
      </c>
    </row>
    <row r="363" spans="1:1" x14ac:dyDescent="0.25">
      <c r="A363" s="3" t="str">
        <f t="shared" si="7"/>
        <v>ene</v>
      </c>
    </row>
    <row r="364" spans="1:1" x14ac:dyDescent="0.25">
      <c r="A364" s="3" t="str">
        <f t="shared" si="7"/>
        <v>ene</v>
      </c>
    </row>
    <row r="365" spans="1:1" x14ac:dyDescent="0.25">
      <c r="A365" s="3" t="str">
        <f t="shared" si="7"/>
        <v>ene</v>
      </c>
    </row>
    <row r="366" spans="1:1" x14ac:dyDescent="0.25">
      <c r="A366" s="3" t="str">
        <f t="shared" si="7"/>
        <v>ene</v>
      </c>
    </row>
    <row r="367" spans="1:1" x14ac:dyDescent="0.25">
      <c r="A367" s="3" t="str">
        <f t="shared" si="7"/>
        <v>ene</v>
      </c>
    </row>
    <row r="368" spans="1:1" x14ac:dyDescent="0.25">
      <c r="A368" s="3" t="str">
        <f t="shared" si="7"/>
        <v>ene</v>
      </c>
    </row>
    <row r="369" spans="1:1" x14ac:dyDescent="0.25">
      <c r="A369" s="3" t="str">
        <f t="shared" si="7"/>
        <v>ene</v>
      </c>
    </row>
    <row r="370" spans="1:1" x14ac:dyDescent="0.25">
      <c r="A370" s="3" t="str">
        <f t="shared" si="7"/>
        <v>ene</v>
      </c>
    </row>
    <row r="371" spans="1:1" x14ac:dyDescent="0.25">
      <c r="A371" s="3" t="str">
        <f t="shared" si="7"/>
        <v>ene</v>
      </c>
    </row>
    <row r="372" spans="1:1" x14ac:dyDescent="0.25">
      <c r="A372" s="3" t="str">
        <f t="shared" si="7"/>
        <v>ene</v>
      </c>
    </row>
    <row r="373" spans="1:1" x14ac:dyDescent="0.25">
      <c r="A373" s="3" t="str">
        <f t="shared" si="7"/>
        <v>ene</v>
      </c>
    </row>
    <row r="374" spans="1:1" x14ac:dyDescent="0.25">
      <c r="A374" s="3" t="str">
        <f t="shared" si="7"/>
        <v>ene</v>
      </c>
    </row>
    <row r="375" spans="1:1" x14ac:dyDescent="0.25">
      <c r="A375" s="3" t="str">
        <f t="shared" si="7"/>
        <v>ene</v>
      </c>
    </row>
    <row r="376" spans="1:1" x14ac:dyDescent="0.25">
      <c r="A376" s="3" t="str">
        <f t="shared" si="7"/>
        <v>ene</v>
      </c>
    </row>
    <row r="377" spans="1:1" x14ac:dyDescent="0.25">
      <c r="A377" s="3" t="str">
        <f t="shared" si="7"/>
        <v>ene</v>
      </c>
    </row>
    <row r="378" spans="1:1" x14ac:dyDescent="0.25">
      <c r="A378" s="3" t="str">
        <f t="shared" si="7"/>
        <v>ene</v>
      </c>
    </row>
    <row r="379" spans="1:1" x14ac:dyDescent="0.25">
      <c r="A379" s="3" t="str">
        <f t="shared" si="7"/>
        <v>ene</v>
      </c>
    </row>
    <row r="380" spans="1:1" x14ac:dyDescent="0.25">
      <c r="A380" s="3" t="str">
        <f t="shared" si="7"/>
        <v>ene</v>
      </c>
    </row>
    <row r="381" spans="1:1" x14ac:dyDescent="0.25">
      <c r="A381" s="3" t="str">
        <f t="shared" si="7"/>
        <v>ene</v>
      </c>
    </row>
    <row r="382" spans="1:1" x14ac:dyDescent="0.25">
      <c r="A382" s="3" t="str">
        <f t="shared" si="7"/>
        <v>ene</v>
      </c>
    </row>
    <row r="383" spans="1:1" x14ac:dyDescent="0.25">
      <c r="A383" s="3" t="str">
        <f t="shared" si="7"/>
        <v>ene</v>
      </c>
    </row>
    <row r="384" spans="1:1" x14ac:dyDescent="0.25">
      <c r="A384" s="3" t="str">
        <f t="shared" si="7"/>
        <v>ene</v>
      </c>
    </row>
    <row r="385" spans="1:1" x14ac:dyDescent="0.25">
      <c r="A385" s="3" t="str">
        <f t="shared" si="7"/>
        <v>ene</v>
      </c>
    </row>
    <row r="386" spans="1:1" x14ac:dyDescent="0.25">
      <c r="A386" s="3" t="str">
        <f t="shared" si="7"/>
        <v>ene</v>
      </c>
    </row>
    <row r="387" spans="1:1" x14ac:dyDescent="0.25">
      <c r="A387" s="3" t="str">
        <f t="shared" si="7"/>
        <v>ene</v>
      </c>
    </row>
    <row r="388" spans="1:1" x14ac:dyDescent="0.25">
      <c r="A388" s="3" t="str">
        <f t="shared" si="7"/>
        <v>ene</v>
      </c>
    </row>
    <row r="389" spans="1:1" x14ac:dyDescent="0.25">
      <c r="A389" s="3" t="str">
        <f t="shared" si="7"/>
        <v>ene</v>
      </c>
    </row>
    <row r="390" spans="1:1" x14ac:dyDescent="0.25">
      <c r="A390" s="3" t="str">
        <f t="shared" ref="A390:A453" si="8">TEXT($D390,"mmm")</f>
        <v>ene</v>
      </c>
    </row>
    <row r="391" spans="1:1" x14ac:dyDescent="0.25">
      <c r="A391" s="3" t="str">
        <f t="shared" si="8"/>
        <v>ene</v>
      </c>
    </row>
    <row r="392" spans="1:1" x14ac:dyDescent="0.25">
      <c r="A392" s="3" t="str">
        <f t="shared" si="8"/>
        <v>ene</v>
      </c>
    </row>
    <row r="393" spans="1:1" x14ac:dyDescent="0.25">
      <c r="A393" s="3" t="str">
        <f t="shared" si="8"/>
        <v>ene</v>
      </c>
    </row>
    <row r="394" spans="1:1" x14ac:dyDescent="0.25">
      <c r="A394" s="3" t="str">
        <f t="shared" si="8"/>
        <v>ene</v>
      </c>
    </row>
    <row r="395" spans="1:1" x14ac:dyDescent="0.25">
      <c r="A395" s="3" t="str">
        <f t="shared" si="8"/>
        <v>ene</v>
      </c>
    </row>
    <row r="396" spans="1:1" x14ac:dyDescent="0.25">
      <c r="A396" s="3" t="str">
        <f t="shared" si="8"/>
        <v>ene</v>
      </c>
    </row>
    <row r="397" spans="1:1" x14ac:dyDescent="0.25">
      <c r="A397" s="3" t="str">
        <f t="shared" si="8"/>
        <v>ene</v>
      </c>
    </row>
    <row r="398" spans="1:1" x14ac:dyDescent="0.25">
      <c r="A398" s="3" t="str">
        <f t="shared" si="8"/>
        <v>ene</v>
      </c>
    </row>
    <row r="399" spans="1:1" x14ac:dyDescent="0.25">
      <c r="A399" s="3" t="str">
        <f t="shared" si="8"/>
        <v>ene</v>
      </c>
    </row>
    <row r="400" spans="1:1" x14ac:dyDescent="0.25">
      <c r="A400" s="3" t="str">
        <f t="shared" si="8"/>
        <v>ene</v>
      </c>
    </row>
    <row r="401" spans="1:1" x14ac:dyDescent="0.25">
      <c r="A401" s="3" t="str">
        <f t="shared" si="8"/>
        <v>ene</v>
      </c>
    </row>
    <row r="402" spans="1:1" x14ac:dyDescent="0.25">
      <c r="A402" s="3" t="str">
        <f t="shared" si="8"/>
        <v>ene</v>
      </c>
    </row>
    <row r="403" spans="1:1" x14ac:dyDescent="0.25">
      <c r="A403" s="3" t="str">
        <f t="shared" si="8"/>
        <v>ene</v>
      </c>
    </row>
    <row r="404" spans="1:1" x14ac:dyDescent="0.25">
      <c r="A404" s="3" t="str">
        <f t="shared" si="8"/>
        <v>ene</v>
      </c>
    </row>
    <row r="405" spans="1:1" x14ac:dyDescent="0.25">
      <c r="A405" s="3" t="str">
        <f t="shared" si="8"/>
        <v>ene</v>
      </c>
    </row>
    <row r="406" spans="1:1" x14ac:dyDescent="0.25">
      <c r="A406" s="3" t="str">
        <f t="shared" si="8"/>
        <v>ene</v>
      </c>
    </row>
    <row r="407" spans="1:1" x14ac:dyDescent="0.25">
      <c r="A407" s="3" t="str">
        <f t="shared" si="8"/>
        <v>ene</v>
      </c>
    </row>
    <row r="408" spans="1:1" x14ac:dyDescent="0.25">
      <c r="A408" s="3" t="str">
        <f t="shared" si="8"/>
        <v>ene</v>
      </c>
    </row>
    <row r="409" spans="1:1" x14ac:dyDescent="0.25">
      <c r="A409" s="3" t="str">
        <f t="shared" si="8"/>
        <v>ene</v>
      </c>
    </row>
    <row r="410" spans="1:1" x14ac:dyDescent="0.25">
      <c r="A410" s="3" t="str">
        <f t="shared" si="8"/>
        <v>ene</v>
      </c>
    </row>
    <row r="411" spans="1:1" x14ac:dyDescent="0.25">
      <c r="A411" s="3" t="str">
        <f t="shared" si="8"/>
        <v>ene</v>
      </c>
    </row>
    <row r="412" spans="1:1" x14ac:dyDescent="0.25">
      <c r="A412" s="3" t="str">
        <f t="shared" si="8"/>
        <v>ene</v>
      </c>
    </row>
    <row r="413" spans="1:1" x14ac:dyDescent="0.25">
      <c r="A413" s="3" t="str">
        <f t="shared" si="8"/>
        <v>ene</v>
      </c>
    </row>
    <row r="414" spans="1:1" x14ac:dyDescent="0.25">
      <c r="A414" s="3" t="str">
        <f t="shared" si="8"/>
        <v>ene</v>
      </c>
    </row>
    <row r="415" spans="1:1" x14ac:dyDescent="0.25">
      <c r="A415" s="3" t="str">
        <f t="shared" si="8"/>
        <v>ene</v>
      </c>
    </row>
    <row r="416" spans="1:1" x14ac:dyDescent="0.25">
      <c r="A416" s="3" t="str">
        <f t="shared" si="8"/>
        <v>ene</v>
      </c>
    </row>
    <row r="417" spans="1:1" x14ac:dyDescent="0.25">
      <c r="A417" s="3" t="str">
        <f t="shared" si="8"/>
        <v>ene</v>
      </c>
    </row>
    <row r="418" spans="1:1" x14ac:dyDescent="0.25">
      <c r="A418" s="3" t="str">
        <f t="shared" si="8"/>
        <v>ene</v>
      </c>
    </row>
    <row r="419" spans="1:1" x14ac:dyDescent="0.25">
      <c r="A419" s="3" t="str">
        <f t="shared" si="8"/>
        <v>ene</v>
      </c>
    </row>
    <row r="420" spans="1:1" x14ac:dyDescent="0.25">
      <c r="A420" s="3" t="str">
        <f t="shared" si="8"/>
        <v>ene</v>
      </c>
    </row>
    <row r="421" spans="1:1" x14ac:dyDescent="0.25">
      <c r="A421" s="3" t="str">
        <f t="shared" si="8"/>
        <v>ene</v>
      </c>
    </row>
    <row r="422" spans="1:1" x14ac:dyDescent="0.25">
      <c r="A422" s="3" t="str">
        <f t="shared" si="8"/>
        <v>ene</v>
      </c>
    </row>
    <row r="423" spans="1:1" x14ac:dyDescent="0.25">
      <c r="A423" s="3" t="str">
        <f t="shared" si="8"/>
        <v>ene</v>
      </c>
    </row>
    <row r="424" spans="1:1" x14ac:dyDescent="0.25">
      <c r="A424" s="3" t="str">
        <f t="shared" si="8"/>
        <v>ene</v>
      </c>
    </row>
    <row r="425" spans="1:1" x14ac:dyDescent="0.25">
      <c r="A425" s="3" t="str">
        <f t="shared" si="8"/>
        <v>ene</v>
      </c>
    </row>
    <row r="426" spans="1:1" x14ac:dyDescent="0.25">
      <c r="A426" s="3" t="str">
        <f t="shared" si="8"/>
        <v>ene</v>
      </c>
    </row>
    <row r="427" spans="1:1" x14ac:dyDescent="0.25">
      <c r="A427" s="3" t="str">
        <f t="shared" si="8"/>
        <v>ene</v>
      </c>
    </row>
    <row r="428" spans="1:1" x14ac:dyDescent="0.25">
      <c r="A428" s="3" t="str">
        <f t="shared" si="8"/>
        <v>ene</v>
      </c>
    </row>
    <row r="429" spans="1:1" x14ac:dyDescent="0.25">
      <c r="A429" s="3" t="str">
        <f t="shared" si="8"/>
        <v>ene</v>
      </c>
    </row>
    <row r="430" spans="1:1" x14ac:dyDescent="0.25">
      <c r="A430" s="3" t="str">
        <f t="shared" si="8"/>
        <v>ene</v>
      </c>
    </row>
    <row r="431" spans="1:1" x14ac:dyDescent="0.25">
      <c r="A431" s="3" t="str">
        <f t="shared" si="8"/>
        <v>ene</v>
      </c>
    </row>
    <row r="432" spans="1:1" x14ac:dyDescent="0.25">
      <c r="A432" s="3" t="str">
        <f t="shared" si="8"/>
        <v>ene</v>
      </c>
    </row>
    <row r="433" spans="1:1" x14ac:dyDescent="0.25">
      <c r="A433" s="3" t="str">
        <f t="shared" si="8"/>
        <v>ene</v>
      </c>
    </row>
    <row r="434" spans="1:1" x14ac:dyDescent="0.25">
      <c r="A434" s="3" t="str">
        <f t="shared" si="8"/>
        <v>ene</v>
      </c>
    </row>
    <row r="435" spans="1:1" x14ac:dyDescent="0.25">
      <c r="A435" s="3" t="str">
        <f t="shared" si="8"/>
        <v>ene</v>
      </c>
    </row>
    <row r="436" spans="1:1" x14ac:dyDescent="0.25">
      <c r="A436" s="3" t="str">
        <f t="shared" si="8"/>
        <v>ene</v>
      </c>
    </row>
    <row r="437" spans="1:1" x14ac:dyDescent="0.25">
      <c r="A437" s="3" t="str">
        <f t="shared" si="8"/>
        <v>ene</v>
      </c>
    </row>
    <row r="438" spans="1:1" x14ac:dyDescent="0.25">
      <c r="A438" s="3" t="str">
        <f t="shared" si="8"/>
        <v>ene</v>
      </c>
    </row>
    <row r="439" spans="1:1" x14ac:dyDescent="0.25">
      <c r="A439" s="3" t="str">
        <f t="shared" si="8"/>
        <v>ene</v>
      </c>
    </row>
    <row r="440" spans="1:1" x14ac:dyDescent="0.25">
      <c r="A440" s="3" t="str">
        <f t="shared" si="8"/>
        <v>ene</v>
      </c>
    </row>
    <row r="441" spans="1:1" x14ac:dyDescent="0.25">
      <c r="A441" s="3" t="str">
        <f t="shared" si="8"/>
        <v>ene</v>
      </c>
    </row>
    <row r="442" spans="1:1" x14ac:dyDescent="0.25">
      <c r="A442" s="3" t="str">
        <f t="shared" si="8"/>
        <v>ene</v>
      </c>
    </row>
    <row r="443" spans="1:1" x14ac:dyDescent="0.25">
      <c r="A443" s="3" t="str">
        <f t="shared" si="8"/>
        <v>ene</v>
      </c>
    </row>
    <row r="444" spans="1:1" x14ac:dyDescent="0.25">
      <c r="A444" s="3" t="str">
        <f t="shared" si="8"/>
        <v>ene</v>
      </c>
    </row>
    <row r="445" spans="1:1" x14ac:dyDescent="0.25">
      <c r="A445" s="3" t="str">
        <f t="shared" si="8"/>
        <v>ene</v>
      </c>
    </row>
    <row r="446" spans="1:1" x14ac:dyDescent="0.25">
      <c r="A446" s="3" t="str">
        <f t="shared" si="8"/>
        <v>ene</v>
      </c>
    </row>
    <row r="447" spans="1:1" x14ac:dyDescent="0.25">
      <c r="A447" s="3" t="str">
        <f t="shared" si="8"/>
        <v>ene</v>
      </c>
    </row>
    <row r="448" spans="1:1" x14ac:dyDescent="0.25">
      <c r="A448" s="3" t="str">
        <f t="shared" si="8"/>
        <v>ene</v>
      </c>
    </row>
    <row r="449" spans="1:1" x14ac:dyDescent="0.25">
      <c r="A449" s="3" t="str">
        <f t="shared" si="8"/>
        <v>ene</v>
      </c>
    </row>
    <row r="450" spans="1:1" x14ac:dyDescent="0.25">
      <c r="A450" s="3" t="str">
        <f t="shared" si="8"/>
        <v>ene</v>
      </c>
    </row>
    <row r="451" spans="1:1" x14ac:dyDescent="0.25">
      <c r="A451" s="3" t="str">
        <f t="shared" si="8"/>
        <v>ene</v>
      </c>
    </row>
    <row r="452" spans="1:1" x14ac:dyDescent="0.25">
      <c r="A452" s="3" t="str">
        <f t="shared" si="8"/>
        <v>ene</v>
      </c>
    </row>
    <row r="453" spans="1:1" x14ac:dyDescent="0.25">
      <c r="A453" s="3" t="str">
        <f t="shared" si="8"/>
        <v>ene</v>
      </c>
    </row>
    <row r="454" spans="1:1" x14ac:dyDescent="0.25">
      <c r="A454" s="3" t="str">
        <f t="shared" ref="A454:A457" si="9">TEXT($D454,"mmm")</f>
        <v>ene</v>
      </c>
    </row>
    <row r="455" spans="1:1" x14ac:dyDescent="0.25">
      <c r="A455" s="3" t="str">
        <f t="shared" si="9"/>
        <v>ene</v>
      </c>
    </row>
    <row r="456" spans="1:1" x14ac:dyDescent="0.25">
      <c r="A456" s="3" t="str">
        <f t="shared" si="9"/>
        <v>ene</v>
      </c>
    </row>
    <row r="457" spans="1:1" x14ac:dyDescent="0.25">
      <c r="A457" s="3" t="str">
        <f t="shared" si="9"/>
        <v>ene</v>
      </c>
    </row>
  </sheetData>
  <mergeCells count="2">
    <mergeCell ref="B1:H1"/>
    <mergeCell ref="J1:P1"/>
  </mergeCells>
  <conditionalFormatting sqref="L3:L61">
    <cfRule type="cellIs" dxfId="53" priority="19" operator="equal">
      <formula>"AL DIA (MENOS 10 DIAS)"</formula>
    </cfRule>
    <cfRule type="cellIs" dxfId="52" priority="20" operator="equal">
      <formula>"POR REALIZAR(ALERTA)"</formula>
    </cfRule>
    <cfRule type="cellIs" dxfId="51" priority="21" operator="equal">
      <formula>"POR REALIAR(ALERTA)"</formula>
    </cfRule>
    <cfRule type="cellIs" dxfId="50" priority="22" operator="equal">
      <formula>"CRITICO(MAS 30 DIAS)"</formula>
    </cfRule>
    <cfRule type="cellIs" dxfId="49" priority="23" operator="equal">
      <formula>"POR REALIZAR (ALERTA)"</formula>
    </cfRule>
    <cfRule type="cellIs" dxfId="48" priority="24" operator="equal">
      <formula>$L$4</formula>
    </cfRule>
    <cfRule type="cellIs" dxfId="47" priority="25" operator="equal">
      <formula>$L$3</formula>
    </cfRule>
    <cfRule type="cellIs" dxfId="46" priority="26" operator="equal">
      <formula>"INVENTARIADO"</formula>
    </cfRule>
    <cfRule type="cellIs" dxfId="45" priority="27" operator="equal">
      <formula>"PENDIENTE"</formula>
    </cfRule>
  </conditionalFormatting>
  <conditionalFormatting sqref="O2:P2">
    <cfRule type="cellIs" dxfId="44" priority="1" operator="equal">
      <formula>"AL DIA (MENOS 10 DIAS)"</formula>
    </cfRule>
    <cfRule type="cellIs" dxfId="43" priority="2" operator="equal">
      <formula>"POR REALIZAR(ALERTA)"</formula>
    </cfRule>
    <cfRule type="cellIs" dxfId="42" priority="3" operator="equal">
      <formula>"POR REALIAR(ALERTA)"</formula>
    </cfRule>
    <cfRule type="cellIs" dxfId="41" priority="4" operator="equal">
      <formula>"CRITICO(MAS 30 DIAS)"</formula>
    </cfRule>
    <cfRule type="cellIs" dxfId="40" priority="5" operator="equal">
      <formula>"POR REALIZAR (ALERTA)"</formula>
    </cfRule>
    <cfRule type="cellIs" dxfId="39" priority="6" operator="equal">
      <formula>$K$4</formula>
    </cfRule>
    <cfRule type="cellIs" dxfId="38" priority="7" operator="equal">
      <formula>$K$3</formula>
    </cfRule>
    <cfRule type="cellIs" dxfId="37" priority="8" operator="equal">
      <formula>"INVENTARIADO"</formula>
    </cfRule>
    <cfRule type="cellIs" dxfId="36" priority="9" operator="equal">
      <formula>"PENDIENTE"</formula>
    </cfRule>
  </conditionalFormatting>
  <dataValidations count="2">
    <dataValidation type="list" allowBlank="1" showInputMessage="1" showErrorMessage="1" sqref="B1:B1048576" xr:uid="{00000000-0002-0000-0300-000000000000}">
      <formula1>$J$3:$J$61</formula1>
    </dataValidation>
    <dataValidation type="list" allowBlank="1" showInputMessage="1" showErrorMessage="1" sqref="G3:G1048576" xr:uid="{00000000-0002-0000-0300-000001000000}">
      <formula1>$Q$2:$Q$6</formula1>
    </dataValidation>
  </dataValidation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57"/>
  <sheetViews>
    <sheetView topLeftCell="D106" workbookViewId="0">
      <selection activeCell="J116" sqref="J116"/>
    </sheetView>
  </sheetViews>
  <sheetFormatPr baseColWidth="10" defaultRowHeight="15" x14ac:dyDescent="0.25"/>
  <cols>
    <col min="1" max="1" width="0" hidden="1" customWidth="1"/>
    <col min="2" max="2" width="22.85546875" style="8" bestFit="1" customWidth="1"/>
    <col min="3" max="3" width="17.85546875" customWidth="1"/>
    <col min="4" max="4" width="22.140625" style="44" bestFit="1" customWidth="1"/>
    <col min="5" max="5" width="22.140625" style="8" customWidth="1"/>
    <col min="6" max="6" width="18.85546875" style="8" customWidth="1"/>
    <col min="7" max="7" width="16.42578125" style="8" customWidth="1"/>
    <col min="8" max="8" width="19" customWidth="1"/>
    <col min="9" max="9" width="6.5703125" style="22" customWidth="1"/>
    <col min="10" max="10" width="25.140625" style="8" bestFit="1" customWidth="1"/>
    <col min="11" max="11" width="13.42578125" customWidth="1"/>
    <col min="12" max="12" width="21.140625" customWidth="1"/>
    <col min="14" max="14" width="17.5703125" bestFit="1" customWidth="1"/>
    <col min="15" max="15" width="24.5703125" bestFit="1" customWidth="1"/>
    <col min="16" max="16" width="27.140625" bestFit="1" customWidth="1"/>
    <col min="17" max="17" width="21.5703125" style="8" bestFit="1" customWidth="1"/>
    <col min="18" max="18" width="20.85546875" bestFit="1" customWidth="1"/>
  </cols>
  <sheetData>
    <row r="1" spans="1:17" ht="28.5" x14ac:dyDescent="0.45">
      <c r="A1" s="32"/>
      <c r="B1" s="50" t="s">
        <v>608</v>
      </c>
      <c r="C1" s="50"/>
      <c r="D1" s="50"/>
      <c r="E1" s="50"/>
      <c r="F1" s="50"/>
      <c r="G1" s="50"/>
      <c r="H1" s="50"/>
      <c r="J1" s="50" t="s">
        <v>609</v>
      </c>
      <c r="K1" s="50"/>
      <c r="L1" s="50"/>
      <c r="M1" s="50"/>
      <c r="N1" s="50"/>
      <c r="O1" s="50"/>
      <c r="P1" s="50"/>
      <c r="Q1" s="33" t="s">
        <v>610</v>
      </c>
    </row>
    <row r="2" spans="1:17" x14ac:dyDescent="0.25">
      <c r="A2" s="23" t="s">
        <v>645</v>
      </c>
      <c r="B2" s="1" t="s">
        <v>0</v>
      </c>
      <c r="C2" s="1" t="s">
        <v>635</v>
      </c>
      <c r="D2" s="13" t="s">
        <v>212</v>
      </c>
      <c r="E2" s="1" t="s">
        <v>214</v>
      </c>
      <c r="F2" s="1" t="s">
        <v>215</v>
      </c>
      <c r="G2" s="1" t="s">
        <v>1</v>
      </c>
      <c r="H2" s="1" t="s">
        <v>213</v>
      </c>
      <c r="J2" s="13" t="s">
        <v>604</v>
      </c>
      <c r="K2" s="13" t="s">
        <v>603</v>
      </c>
      <c r="L2" s="13" t="s">
        <v>602</v>
      </c>
      <c r="N2" s="18" t="s">
        <v>605</v>
      </c>
      <c r="O2" s="6" t="s">
        <v>607</v>
      </c>
      <c r="P2" s="6" t="s">
        <v>606</v>
      </c>
      <c r="Q2" s="8" t="s">
        <v>624</v>
      </c>
    </row>
    <row r="3" spans="1:17" x14ac:dyDescent="0.25">
      <c r="A3" s="3" t="str">
        <f>TEXT($D3,"mmm")</f>
        <v>oct</v>
      </c>
      <c r="B3" s="6" t="s">
        <v>115</v>
      </c>
      <c r="C3" s="6">
        <v>74</v>
      </c>
      <c r="D3" s="16">
        <v>46302</v>
      </c>
      <c r="E3" s="6"/>
      <c r="F3" s="6"/>
      <c r="G3" s="6" t="s">
        <v>626</v>
      </c>
      <c r="H3" s="4"/>
      <c r="J3" s="3" t="s">
        <v>65</v>
      </c>
      <c r="K3" s="14">
        <f>IFERROR(LOOKUP(2,1/($B$3:$B$1001=J3),$D$3:$D$1001),"")</f>
        <v>46310</v>
      </c>
      <c r="L3" s="3" t="str">
        <f ca="1">IF(OR(K3="",K3=0),"CRITICO(MAS 30 DIAS)",IF(TODAY()-K3&gt;=30,"CRITICO(MAS 30 DIAS)",IF(TODAY()-K3&gt;=15,"POR REALIZAR(ALERTA)","AL DIA (MENOS 10 DIAS)")))</f>
        <v>AL DIA (MENOS 10 DIAS)</v>
      </c>
      <c r="N3" s="21">
        <f ca="1">+COUNTIF(L3:L189,N2)</f>
        <v>81</v>
      </c>
      <c r="O3" s="20">
        <f ca="1">+COUNTIF(L3:L189,O2)</f>
        <v>3</v>
      </c>
      <c r="P3" s="19">
        <f ca="1">+COUNTIF(L3:L189,P2)</f>
        <v>71</v>
      </c>
      <c r="Q3" s="8" t="s">
        <v>625</v>
      </c>
    </row>
    <row r="4" spans="1:17" x14ac:dyDescent="0.25">
      <c r="A4" s="3" t="str">
        <f>TEXT($D4,"mmm")</f>
        <v>oct</v>
      </c>
      <c r="B4" s="6" t="s">
        <v>150</v>
      </c>
      <c r="C4" s="3">
        <v>80</v>
      </c>
      <c r="D4" s="16">
        <v>46308</v>
      </c>
      <c r="E4" s="6"/>
      <c r="F4" s="6"/>
      <c r="G4" s="6" t="s">
        <v>626</v>
      </c>
      <c r="H4" s="4"/>
      <c r="J4" s="3" t="s">
        <v>66</v>
      </c>
      <c r="K4" s="14">
        <f t="shared" ref="K4:K67" si="0">IFERROR(LOOKUP(2,1/($B$3:$B$1001=J4),$D$3:$D$1001),"")</f>
        <v>46300</v>
      </c>
      <c r="L4" s="3" t="str">
        <f t="shared" ref="L4:L67" ca="1" si="1">IF(OR(K4="",K4=0),"CRITICO(MAS 30 DIAS)",IF(TODAY()-K4&gt;=30,"CRITICO(MAS 30 DIAS)",IF(TODAY()-K4&gt;=15,"POR REALIZAR(ALERTA)","AL DIA (MENOS 10 DIAS)")))</f>
        <v>AL DIA (MENOS 10 DIAS)</v>
      </c>
      <c r="Q4" s="8" t="s">
        <v>626</v>
      </c>
    </row>
    <row r="5" spans="1:17" x14ac:dyDescent="0.25">
      <c r="A5" s="3" t="str">
        <f>TEXT($D5,"mmm")</f>
        <v>oct</v>
      </c>
      <c r="B5" s="6" t="s">
        <v>144</v>
      </c>
      <c r="C5" s="3">
        <v>151</v>
      </c>
      <c r="D5" s="16">
        <v>46301</v>
      </c>
      <c r="E5" s="6"/>
      <c r="F5" s="6"/>
      <c r="G5" s="6" t="s">
        <v>626</v>
      </c>
      <c r="H5" s="4"/>
      <c r="J5" s="3" t="s">
        <v>67</v>
      </c>
      <c r="K5" s="14">
        <f t="shared" si="0"/>
        <v>46310</v>
      </c>
      <c r="L5" s="3" t="str">
        <f t="shared" ca="1" si="1"/>
        <v>AL DIA (MENOS 10 DIAS)</v>
      </c>
      <c r="Q5" s="8" t="s">
        <v>612</v>
      </c>
    </row>
    <row r="6" spans="1:17" x14ac:dyDescent="0.25">
      <c r="A6" s="3" t="str">
        <f t="shared" ref="A6:A69" si="2">TEXT($D6,"mmm")</f>
        <v>oct</v>
      </c>
      <c r="B6" s="6" t="s">
        <v>131</v>
      </c>
      <c r="C6" s="3">
        <v>348</v>
      </c>
      <c r="D6" s="16">
        <v>46303</v>
      </c>
      <c r="E6" s="6"/>
      <c r="F6" s="6"/>
      <c r="G6" s="6" t="s">
        <v>626</v>
      </c>
      <c r="H6" s="4"/>
      <c r="J6" s="3" t="s">
        <v>68</v>
      </c>
      <c r="K6" s="14" t="str">
        <f t="shared" si="0"/>
        <v/>
      </c>
      <c r="L6" s="3" t="str">
        <f t="shared" ca="1" si="1"/>
        <v>CRITICO(MAS 30 DIAS)</v>
      </c>
    </row>
    <row r="7" spans="1:17" x14ac:dyDescent="0.25">
      <c r="A7" s="3" t="str">
        <f t="shared" si="2"/>
        <v>oct</v>
      </c>
      <c r="B7" s="6" t="s">
        <v>81</v>
      </c>
      <c r="C7" s="3">
        <v>30</v>
      </c>
      <c r="D7" s="16">
        <v>46308</v>
      </c>
      <c r="E7" s="6"/>
      <c r="F7" s="6"/>
      <c r="G7" s="6" t="s">
        <v>626</v>
      </c>
      <c r="H7" s="4"/>
      <c r="J7" s="3" t="s">
        <v>69</v>
      </c>
      <c r="K7" s="14" t="str">
        <f t="shared" si="0"/>
        <v/>
      </c>
      <c r="L7" s="3" t="str">
        <f t="shared" ca="1" si="1"/>
        <v>CRITICO(MAS 30 DIAS)</v>
      </c>
    </row>
    <row r="8" spans="1:17" x14ac:dyDescent="0.25">
      <c r="A8" s="3" t="str">
        <f t="shared" si="2"/>
        <v>oct</v>
      </c>
      <c r="B8" s="6" t="s">
        <v>20</v>
      </c>
      <c r="C8" s="3">
        <v>5140</v>
      </c>
      <c r="D8" s="16">
        <v>46300</v>
      </c>
      <c r="E8" s="6"/>
      <c r="F8" s="6"/>
      <c r="G8" s="6" t="s">
        <v>626</v>
      </c>
      <c r="H8" s="4"/>
      <c r="J8" s="3" t="s">
        <v>70</v>
      </c>
      <c r="K8" s="14">
        <f t="shared" si="0"/>
        <v>46300</v>
      </c>
      <c r="L8" s="3" t="str">
        <f t="shared" ca="1" si="1"/>
        <v>AL DIA (MENOS 10 DIAS)</v>
      </c>
    </row>
    <row r="9" spans="1:17" x14ac:dyDescent="0.25">
      <c r="A9" s="3" t="str">
        <f t="shared" si="2"/>
        <v>oct</v>
      </c>
      <c r="B9" s="6" t="s">
        <v>55</v>
      </c>
      <c r="C9" s="3">
        <v>392</v>
      </c>
      <c r="D9" s="16">
        <v>46305</v>
      </c>
      <c r="E9" s="6"/>
      <c r="F9" s="6"/>
      <c r="G9" s="6" t="s">
        <v>626</v>
      </c>
      <c r="H9" s="4"/>
      <c r="J9" s="3" t="s">
        <v>71</v>
      </c>
      <c r="K9" s="14">
        <f t="shared" si="0"/>
        <v>46300</v>
      </c>
      <c r="L9" s="3" t="str">
        <f t="shared" ca="1" si="1"/>
        <v>AL DIA (MENOS 10 DIAS)</v>
      </c>
    </row>
    <row r="10" spans="1:17" x14ac:dyDescent="0.25">
      <c r="A10" s="3" t="str">
        <f t="shared" si="2"/>
        <v>oct</v>
      </c>
      <c r="B10" s="6" t="s">
        <v>6</v>
      </c>
      <c r="C10" s="3"/>
      <c r="D10" s="16">
        <v>46296</v>
      </c>
      <c r="E10" s="6"/>
      <c r="F10" s="6"/>
      <c r="G10" s="6" t="s">
        <v>626</v>
      </c>
      <c r="H10" s="4"/>
      <c r="J10" s="3" t="s">
        <v>15</v>
      </c>
      <c r="K10" s="14" t="str">
        <f t="shared" si="0"/>
        <v/>
      </c>
      <c r="L10" s="3" t="str">
        <f t="shared" ca="1" si="1"/>
        <v>CRITICO(MAS 30 DIAS)</v>
      </c>
    </row>
    <row r="11" spans="1:17" x14ac:dyDescent="0.25">
      <c r="A11" s="3" t="str">
        <f t="shared" si="2"/>
        <v>oct</v>
      </c>
      <c r="B11" s="6" t="s">
        <v>183</v>
      </c>
      <c r="C11" s="3">
        <v>17</v>
      </c>
      <c r="D11" s="16">
        <v>46301</v>
      </c>
      <c r="E11" s="6"/>
      <c r="F11" s="6"/>
      <c r="G11" s="6" t="s">
        <v>625</v>
      </c>
      <c r="H11" s="4"/>
      <c r="J11" s="3" t="s">
        <v>2</v>
      </c>
      <c r="K11" s="14">
        <f t="shared" si="0"/>
        <v>46296</v>
      </c>
      <c r="L11" s="3" t="str">
        <f t="shared" ca="1" si="1"/>
        <v>POR REALIZAR(ALERTA)</v>
      </c>
    </row>
    <row r="12" spans="1:17" x14ac:dyDescent="0.25">
      <c r="A12" s="3" t="str">
        <f t="shared" si="2"/>
        <v>oct</v>
      </c>
      <c r="B12" s="6" t="s">
        <v>184</v>
      </c>
      <c r="C12" s="3">
        <v>1</v>
      </c>
      <c r="D12" s="16">
        <v>46301</v>
      </c>
      <c r="E12" s="6"/>
      <c r="F12" s="6"/>
      <c r="G12" s="6" t="s">
        <v>625</v>
      </c>
      <c r="H12" s="4"/>
      <c r="J12" s="3" t="s">
        <v>72</v>
      </c>
      <c r="K12" s="14">
        <f t="shared" si="0"/>
        <v>46300</v>
      </c>
      <c r="L12" s="3" t="str">
        <f t="shared" ca="1" si="1"/>
        <v>AL DIA (MENOS 10 DIAS)</v>
      </c>
    </row>
    <row r="13" spans="1:17" x14ac:dyDescent="0.25">
      <c r="A13" s="3" t="str">
        <f t="shared" si="2"/>
        <v>oct</v>
      </c>
      <c r="B13" s="6" t="s">
        <v>118</v>
      </c>
      <c r="C13" s="3">
        <v>31</v>
      </c>
      <c r="D13" s="16">
        <v>46304</v>
      </c>
      <c r="E13" s="6"/>
      <c r="F13" s="6"/>
      <c r="G13" s="6" t="s">
        <v>626</v>
      </c>
      <c r="H13" s="4"/>
      <c r="J13" s="3" t="s">
        <v>16</v>
      </c>
      <c r="K13" s="14">
        <f t="shared" si="0"/>
        <v>46310</v>
      </c>
      <c r="L13" s="3" t="str">
        <f t="shared" ca="1" si="1"/>
        <v>AL DIA (MENOS 10 DIAS)</v>
      </c>
    </row>
    <row r="14" spans="1:17" x14ac:dyDescent="0.25">
      <c r="A14" s="3" t="str">
        <f t="shared" si="2"/>
        <v>oct</v>
      </c>
      <c r="B14" s="6" t="s">
        <v>62</v>
      </c>
      <c r="C14" s="3">
        <v>29</v>
      </c>
      <c r="D14" s="16">
        <v>46303</v>
      </c>
      <c r="E14" s="6"/>
      <c r="F14" s="6"/>
      <c r="G14" s="6" t="s">
        <v>626</v>
      </c>
      <c r="H14" s="4"/>
      <c r="J14" s="3" t="s">
        <v>73</v>
      </c>
      <c r="K14" s="14">
        <f t="shared" si="0"/>
        <v>46310</v>
      </c>
      <c r="L14" s="3" t="str">
        <f t="shared" ca="1" si="1"/>
        <v>AL DIA (MENOS 10 DIAS)</v>
      </c>
    </row>
    <row r="15" spans="1:17" x14ac:dyDescent="0.25">
      <c r="A15" s="3" t="str">
        <f t="shared" si="2"/>
        <v>oct</v>
      </c>
      <c r="B15" s="6" t="s">
        <v>66</v>
      </c>
      <c r="C15" s="3">
        <v>26</v>
      </c>
      <c r="D15" s="16">
        <v>46300</v>
      </c>
      <c r="E15" s="6"/>
      <c r="F15" s="6"/>
      <c r="G15" s="6" t="s">
        <v>626</v>
      </c>
      <c r="H15" s="4"/>
      <c r="J15" s="3" t="s">
        <v>74</v>
      </c>
      <c r="K15" s="14" t="str">
        <f t="shared" si="0"/>
        <v/>
      </c>
      <c r="L15" s="3" t="str">
        <f t="shared" ca="1" si="1"/>
        <v>CRITICO(MAS 30 DIAS)</v>
      </c>
    </row>
    <row r="16" spans="1:17" x14ac:dyDescent="0.25">
      <c r="A16" s="3" t="str">
        <f t="shared" si="2"/>
        <v>oct</v>
      </c>
      <c r="B16" s="6" t="s">
        <v>142</v>
      </c>
      <c r="C16" s="3">
        <v>5</v>
      </c>
      <c r="D16" s="16">
        <v>46296</v>
      </c>
      <c r="E16" s="6"/>
      <c r="F16" s="6"/>
      <c r="G16" s="6" t="s">
        <v>612</v>
      </c>
      <c r="H16" s="4"/>
      <c r="J16" s="3" t="s">
        <v>75</v>
      </c>
      <c r="K16" s="14">
        <f t="shared" si="0"/>
        <v>46300</v>
      </c>
      <c r="L16" s="3" t="str">
        <f t="shared" ca="1" si="1"/>
        <v>AL DIA (MENOS 10 DIAS)</v>
      </c>
    </row>
    <row r="17" spans="1:18" x14ac:dyDescent="0.25">
      <c r="A17" s="3" t="str">
        <f t="shared" si="2"/>
        <v>oct</v>
      </c>
      <c r="B17" s="6" t="s">
        <v>2</v>
      </c>
      <c r="C17" s="3">
        <v>44</v>
      </c>
      <c r="D17" s="16">
        <v>46296</v>
      </c>
      <c r="E17" s="6"/>
      <c r="F17" s="6"/>
      <c r="G17" s="6" t="s">
        <v>612</v>
      </c>
      <c r="H17" s="4"/>
      <c r="J17" s="3" t="s">
        <v>76</v>
      </c>
      <c r="K17" s="14">
        <f t="shared" si="0"/>
        <v>46300</v>
      </c>
      <c r="L17" s="3" t="str">
        <f t="shared" ca="1" si="1"/>
        <v>AL DIA (MENOS 10 DIAS)</v>
      </c>
    </row>
    <row r="18" spans="1:18" x14ac:dyDescent="0.25">
      <c r="A18" s="3" t="str">
        <f t="shared" si="2"/>
        <v>oct</v>
      </c>
      <c r="B18" s="6" t="s">
        <v>168</v>
      </c>
      <c r="C18" s="3">
        <v>61</v>
      </c>
      <c r="D18" s="16">
        <v>46300</v>
      </c>
      <c r="E18" s="6"/>
      <c r="F18" s="6"/>
      <c r="G18" s="6" t="s">
        <v>626</v>
      </c>
      <c r="H18" s="4"/>
      <c r="J18" s="3" t="s">
        <v>18</v>
      </c>
      <c r="K18" s="14">
        <f t="shared" si="0"/>
        <v>46300</v>
      </c>
      <c r="L18" s="3" t="str">
        <f t="shared" ca="1" si="1"/>
        <v>AL DIA (MENOS 10 DIAS)</v>
      </c>
    </row>
    <row r="19" spans="1:18" x14ac:dyDescent="0.25">
      <c r="A19" s="3" t="str">
        <f t="shared" si="2"/>
        <v>oct</v>
      </c>
      <c r="B19" s="6" t="s">
        <v>116</v>
      </c>
      <c r="C19" s="3">
        <v>19</v>
      </c>
      <c r="D19" s="16">
        <v>46308</v>
      </c>
      <c r="E19" s="6"/>
      <c r="F19" s="6"/>
      <c r="G19" s="6" t="s">
        <v>626</v>
      </c>
      <c r="H19" s="4"/>
      <c r="J19" s="3" t="s">
        <v>77</v>
      </c>
      <c r="K19" s="14">
        <f t="shared" si="0"/>
        <v>46300</v>
      </c>
      <c r="L19" s="3" t="str">
        <f t="shared" ca="1" si="1"/>
        <v>AL DIA (MENOS 10 DIAS)</v>
      </c>
    </row>
    <row r="20" spans="1:18" x14ac:dyDescent="0.25">
      <c r="A20" s="3" t="str">
        <f t="shared" si="2"/>
        <v>oct</v>
      </c>
      <c r="B20" s="6" t="s">
        <v>70</v>
      </c>
      <c r="C20" s="3">
        <v>34</v>
      </c>
      <c r="D20" s="16">
        <v>46300</v>
      </c>
      <c r="E20" s="6"/>
      <c r="F20" s="6"/>
      <c r="G20" s="6" t="s">
        <v>626</v>
      </c>
      <c r="H20" s="4"/>
      <c r="J20" s="3" t="s">
        <v>78</v>
      </c>
      <c r="K20" s="14" t="str">
        <f t="shared" si="0"/>
        <v/>
      </c>
      <c r="L20" s="3" t="str">
        <f t="shared" ca="1" si="1"/>
        <v>CRITICO(MAS 30 DIAS)</v>
      </c>
    </row>
    <row r="21" spans="1:18" x14ac:dyDescent="0.25">
      <c r="A21" s="3" t="str">
        <f t="shared" si="2"/>
        <v>oct</v>
      </c>
      <c r="B21" s="6" t="s">
        <v>71</v>
      </c>
      <c r="C21" s="3">
        <v>1</v>
      </c>
      <c r="D21" s="16">
        <v>46300</v>
      </c>
      <c r="E21" s="6"/>
      <c r="F21" s="6"/>
      <c r="G21" s="6" t="s">
        <v>626</v>
      </c>
      <c r="H21" s="4"/>
      <c r="J21" s="3" t="s">
        <v>79</v>
      </c>
      <c r="K21" s="14" t="str">
        <f t="shared" si="0"/>
        <v/>
      </c>
      <c r="L21" s="3" t="str">
        <f t="shared" ca="1" si="1"/>
        <v>CRITICO(MAS 30 DIAS)</v>
      </c>
    </row>
    <row r="22" spans="1:18" x14ac:dyDescent="0.25">
      <c r="A22" s="3" t="str">
        <f t="shared" si="2"/>
        <v>oct</v>
      </c>
      <c r="B22" s="6" t="s">
        <v>72</v>
      </c>
      <c r="C22" s="3">
        <v>31</v>
      </c>
      <c r="D22" s="16">
        <v>46300</v>
      </c>
      <c r="E22" s="6"/>
      <c r="F22" s="6"/>
      <c r="G22" s="6" t="s">
        <v>626</v>
      </c>
      <c r="H22" s="4"/>
      <c r="J22" s="3" t="s">
        <v>20</v>
      </c>
      <c r="K22" s="14">
        <f t="shared" si="0"/>
        <v>46300</v>
      </c>
      <c r="L22" s="3" t="str">
        <f t="shared" ca="1" si="1"/>
        <v>AL DIA (MENOS 10 DIAS)</v>
      </c>
    </row>
    <row r="23" spans="1:18" x14ac:dyDescent="0.25">
      <c r="A23" s="3" t="str">
        <f t="shared" si="2"/>
        <v>oct</v>
      </c>
      <c r="B23" s="6" t="s">
        <v>76</v>
      </c>
      <c r="C23" s="3">
        <v>22</v>
      </c>
      <c r="D23" s="16">
        <v>46300</v>
      </c>
      <c r="E23" s="6"/>
      <c r="F23" s="6"/>
      <c r="G23" s="6" t="s">
        <v>626</v>
      </c>
      <c r="H23" s="4"/>
      <c r="J23" s="3" t="s">
        <v>21</v>
      </c>
      <c r="K23" s="14">
        <f t="shared" si="0"/>
        <v>46300</v>
      </c>
      <c r="L23" s="3" t="str">
        <f t="shared" ca="1" si="1"/>
        <v>AL DIA (MENOS 10 DIAS)</v>
      </c>
      <c r="N23" s="42" t="s">
        <v>645</v>
      </c>
      <c r="O23" t="s">
        <v>636</v>
      </c>
    </row>
    <row r="24" spans="1:18" x14ac:dyDescent="0.25">
      <c r="A24" s="3" t="str">
        <f t="shared" si="2"/>
        <v>oct</v>
      </c>
      <c r="B24" s="6" t="s">
        <v>18</v>
      </c>
      <c r="C24" s="3">
        <v>7</v>
      </c>
      <c r="D24" s="16">
        <v>46300</v>
      </c>
      <c r="E24" s="6"/>
      <c r="F24" s="6"/>
      <c r="G24" s="6" t="s">
        <v>626</v>
      </c>
      <c r="H24" s="4"/>
      <c r="J24" s="3" t="s">
        <v>22</v>
      </c>
      <c r="K24" s="14" t="str">
        <f t="shared" si="0"/>
        <v/>
      </c>
      <c r="L24" s="3" t="str">
        <f t="shared" ca="1" si="1"/>
        <v>CRITICO(MAS 30 DIAS)</v>
      </c>
      <c r="N24" s="42" t="s">
        <v>0</v>
      </c>
      <c r="O24" t="s">
        <v>636</v>
      </c>
    </row>
    <row r="25" spans="1:18" x14ac:dyDescent="0.25">
      <c r="A25" s="3" t="str">
        <f t="shared" si="2"/>
        <v>oct</v>
      </c>
      <c r="B25" s="6" t="s">
        <v>77</v>
      </c>
      <c r="C25" s="3">
        <v>24</v>
      </c>
      <c r="D25" s="16">
        <v>46300</v>
      </c>
      <c r="E25" s="6"/>
      <c r="F25" s="6"/>
      <c r="G25" s="6" t="s">
        <v>626</v>
      </c>
      <c r="H25" s="4"/>
      <c r="J25" s="3" t="s">
        <v>80</v>
      </c>
      <c r="K25" s="14" t="str">
        <f t="shared" si="0"/>
        <v/>
      </c>
      <c r="L25" s="3" t="str">
        <f t="shared" ca="1" si="1"/>
        <v>CRITICO(MAS 30 DIAS)</v>
      </c>
    </row>
    <row r="26" spans="1:18" x14ac:dyDescent="0.25">
      <c r="A26" s="3" t="str">
        <f t="shared" si="2"/>
        <v>oct</v>
      </c>
      <c r="B26" s="6" t="s">
        <v>21</v>
      </c>
      <c r="C26" s="3">
        <v>19</v>
      </c>
      <c r="D26" s="16">
        <v>46300</v>
      </c>
      <c r="E26" s="6"/>
      <c r="F26" s="6"/>
      <c r="G26" s="6" t="s">
        <v>626</v>
      </c>
      <c r="H26" s="4"/>
      <c r="J26" s="3" t="s">
        <v>81</v>
      </c>
      <c r="K26" s="14">
        <f t="shared" si="0"/>
        <v>46308</v>
      </c>
      <c r="L26" s="3" t="str">
        <f t="shared" ca="1" si="1"/>
        <v>AL DIA (MENOS 10 DIAS)</v>
      </c>
      <c r="N26" s="42" t="s">
        <v>637</v>
      </c>
      <c r="O26" t="s">
        <v>641</v>
      </c>
      <c r="P26" t="s">
        <v>643</v>
      </c>
      <c r="Q26" t="s">
        <v>651</v>
      </c>
      <c r="R26" t="s">
        <v>652</v>
      </c>
    </row>
    <row r="27" spans="1:18" x14ac:dyDescent="0.25">
      <c r="A27" s="3" t="str">
        <f t="shared" si="2"/>
        <v>oct</v>
      </c>
      <c r="B27" s="6" t="s">
        <v>25</v>
      </c>
      <c r="C27" s="3">
        <v>4</v>
      </c>
      <c r="D27" s="16">
        <v>46300</v>
      </c>
      <c r="E27" s="6"/>
      <c r="F27" s="6"/>
      <c r="G27" s="6" t="s">
        <v>626</v>
      </c>
      <c r="H27" s="4"/>
      <c r="J27" s="3" t="s">
        <v>24</v>
      </c>
      <c r="K27" s="14" t="str">
        <f t="shared" si="0"/>
        <v/>
      </c>
      <c r="L27" s="3" t="str">
        <f t="shared" ca="1" si="1"/>
        <v>CRITICO(MAS 30 DIAS)</v>
      </c>
      <c r="N27" s="43" t="s">
        <v>638</v>
      </c>
      <c r="Q27"/>
    </row>
    <row r="28" spans="1:18" x14ac:dyDescent="0.25">
      <c r="A28" s="3" t="str">
        <f t="shared" si="2"/>
        <v>oct</v>
      </c>
      <c r="B28" s="6" t="s">
        <v>84</v>
      </c>
      <c r="C28" s="3">
        <v>3</v>
      </c>
      <c r="D28" s="16">
        <v>46300</v>
      </c>
      <c r="E28" s="6"/>
      <c r="F28" s="6"/>
      <c r="G28" s="6" t="s">
        <v>626</v>
      </c>
      <c r="H28" s="4"/>
      <c r="J28" s="3" t="s">
        <v>25</v>
      </c>
      <c r="K28" s="14">
        <f t="shared" si="0"/>
        <v>46300</v>
      </c>
      <c r="L28" s="3" t="str">
        <f t="shared" ca="1" si="1"/>
        <v>AL DIA (MENOS 10 DIAS)</v>
      </c>
      <c r="N28" s="43" t="s">
        <v>612</v>
      </c>
      <c r="O28">
        <v>66</v>
      </c>
      <c r="P28">
        <v>5</v>
      </c>
      <c r="Q28"/>
    </row>
    <row r="29" spans="1:18" x14ac:dyDescent="0.25">
      <c r="A29" s="3" t="str">
        <f t="shared" si="2"/>
        <v>oct</v>
      </c>
      <c r="B29" s="6" t="s">
        <v>87</v>
      </c>
      <c r="C29" s="3">
        <v>60</v>
      </c>
      <c r="D29" s="16">
        <v>46300</v>
      </c>
      <c r="E29" s="6"/>
      <c r="F29" s="6"/>
      <c r="G29" s="6" t="s">
        <v>626</v>
      </c>
      <c r="H29" s="4"/>
      <c r="J29" s="3" t="s">
        <v>82</v>
      </c>
      <c r="K29" s="14">
        <f t="shared" si="0"/>
        <v>46310</v>
      </c>
      <c r="L29" s="3" t="str">
        <f t="shared" ca="1" si="1"/>
        <v>AL DIA (MENOS 10 DIAS)</v>
      </c>
      <c r="N29" s="43" t="s">
        <v>626</v>
      </c>
      <c r="O29">
        <v>9003</v>
      </c>
      <c r="P29">
        <v>70</v>
      </c>
      <c r="Q29">
        <v>1</v>
      </c>
      <c r="R29">
        <v>1</v>
      </c>
    </row>
    <row r="30" spans="1:18" x14ac:dyDescent="0.25">
      <c r="A30" s="3" t="str">
        <f t="shared" si="2"/>
        <v>oct</v>
      </c>
      <c r="B30" s="6" t="s">
        <v>89</v>
      </c>
      <c r="C30" s="3">
        <v>26</v>
      </c>
      <c r="D30" s="16">
        <v>46300</v>
      </c>
      <c r="E30" s="6"/>
      <c r="F30" s="6"/>
      <c r="G30" s="6" t="s">
        <v>626</v>
      </c>
      <c r="H30" s="4"/>
      <c r="J30" s="3" t="s">
        <v>83</v>
      </c>
      <c r="K30" s="14">
        <f t="shared" si="0"/>
        <v>46311</v>
      </c>
      <c r="L30" s="3" t="str">
        <f t="shared" ca="1" si="1"/>
        <v>AL DIA (MENOS 10 DIAS)</v>
      </c>
      <c r="N30" s="43" t="s">
        <v>625</v>
      </c>
      <c r="O30">
        <v>18</v>
      </c>
      <c r="P30">
        <v>2</v>
      </c>
      <c r="Q30"/>
    </row>
    <row r="31" spans="1:18" x14ac:dyDescent="0.25">
      <c r="A31" s="3" t="str">
        <f t="shared" si="2"/>
        <v>oct</v>
      </c>
      <c r="B31" s="6" t="s">
        <v>90</v>
      </c>
      <c r="C31" s="3">
        <v>9</v>
      </c>
      <c r="D31" s="16">
        <v>46300</v>
      </c>
      <c r="E31" s="6"/>
      <c r="F31" s="6"/>
      <c r="G31" s="6" t="s">
        <v>626</v>
      </c>
      <c r="H31" s="4"/>
      <c r="J31" s="3" t="s">
        <v>26</v>
      </c>
      <c r="K31" s="14" t="str">
        <f t="shared" si="0"/>
        <v/>
      </c>
      <c r="L31" s="3" t="str">
        <f t="shared" ca="1" si="1"/>
        <v>CRITICO(MAS 30 DIAS)</v>
      </c>
      <c r="N31" s="43" t="s">
        <v>624</v>
      </c>
      <c r="O31">
        <v>13</v>
      </c>
      <c r="P31">
        <v>6</v>
      </c>
      <c r="Q31">
        <v>1</v>
      </c>
      <c r="R31">
        <v>3</v>
      </c>
    </row>
    <row r="32" spans="1:18" x14ac:dyDescent="0.25">
      <c r="A32" s="3" t="str">
        <f t="shared" si="2"/>
        <v>oct</v>
      </c>
      <c r="B32" s="6" t="s">
        <v>31</v>
      </c>
      <c r="C32" s="3">
        <v>36</v>
      </c>
      <c r="D32" s="16">
        <v>46300</v>
      </c>
      <c r="E32" s="6"/>
      <c r="F32" s="6"/>
      <c r="G32" s="6" t="s">
        <v>626</v>
      </c>
      <c r="H32" s="4"/>
      <c r="J32" s="3" t="s">
        <v>84</v>
      </c>
      <c r="K32" s="14">
        <f t="shared" si="0"/>
        <v>46300</v>
      </c>
      <c r="L32" s="3" t="str">
        <f t="shared" ca="1" si="1"/>
        <v>AL DIA (MENOS 10 DIAS)</v>
      </c>
      <c r="N32" s="43" t="s">
        <v>639</v>
      </c>
      <c r="O32">
        <v>9100</v>
      </c>
      <c r="P32">
        <v>83</v>
      </c>
      <c r="Q32">
        <v>2</v>
      </c>
      <c r="R32">
        <v>4</v>
      </c>
    </row>
    <row r="33" spans="1:12" x14ac:dyDescent="0.25">
      <c r="A33" s="3" t="str">
        <f t="shared" si="2"/>
        <v>oct</v>
      </c>
      <c r="B33" s="6" t="s">
        <v>33</v>
      </c>
      <c r="C33" s="3">
        <v>48</v>
      </c>
      <c r="D33" s="16">
        <v>46300</v>
      </c>
      <c r="E33" s="6"/>
      <c r="F33" s="6"/>
      <c r="G33" s="6" t="s">
        <v>626</v>
      </c>
      <c r="H33" s="4"/>
      <c r="J33" s="3" t="s">
        <v>85</v>
      </c>
      <c r="K33" s="14" t="str">
        <f t="shared" si="0"/>
        <v/>
      </c>
      <c r="L33" s="3" t="str">
        <f t="shared" ca="1" si="1"/>
        <v>CRITICO(MAS 30 DIAS)</v>
      </c>
    </row>
    <row r="34" spans="1:12" x14ac:dyDescent="0.25">
      <c r="A34" s="3" t="str">
        <f t="shared" si="2"/>
        <v>oct</v>
      </c>
      <c r="B34" s="6" t="s">
        <v>101</v>
      </c>
      <c r="C34" s="3">
        <v>20</v>
      </c>
      <c r="D34" s="16">
        <v>46300</v>
      </c>
      <c r="E34" s="6"/>
      <c r="F34" s="6"/>
      <c r="G34" s="6" t="s">
        <v>626</v>
      </c>
      <c r="H34" s="4"/>
      <c r="J34" s="3" t="s">
        <v>86</v>
      </c>
      <c r="K34" s="14" t="str">
        <f t="shared" si="0"/>
        <v/>
      </c>
      <c r="L34" s="3" t="str">
        <f t="shared" ca="1" si="1"/>
        <v>CRITICO(MAS 30 DIAS)</v>
      </c>
    </row>
    <row r="35" spans="1:12" x14ac:dyDescent="0.25">
      <c r="A35" s="3" t="str">
        <f t="shared" si="2"/>
        <v>oct</v>
      </c>
      <c r="B35" s="6" t="s">
        <v>102</v>
      </c>
      <c r="C35" s="3">
        <v>11</v>
      </c>
      <c r="D35" s="16">
        <v>46300</v>
      </c>
      <c r="E35" s="6"/>
      <c r="F35" s="6"/>
      <c r="G35" s="6" t="s">
        <v>626</v>
      </c>
      <c r="H35" s="4"/>
      <c r="J35" s="3" t="s">
        <v>87</v>
      </c>
      <c r="K35" s="14">
        <f t="shared" si="0"/>
        <v>46300</v>
      </c>
      <c r="L35" s="3" t="str">
        <f t="shared" ca="1" si="1"/>
        <v>AL DIA (MENOS 10 DIAS)</v>
      </c>
    </row>
    <row r="36" spans="1:12" x14ac:dyDescent="0.25">
      <c r="A36" s="3" t="str">
        <f t="shared" si="2"/>
        <v>oct</v>
      </c>
      <c r="B36" s="6" t="s">
        <v>103</v>
      </c>
      <c r="C36" s="3">
        <v>4</v>
      </c>
      <c r="D36" s="16">
        <v>46300</v>
      </c>
      <c r="E36" s="6"/>
      <c r="F36" s="6"/>
      <c r="G36" s="6" t="s">
        <v>626</v>
      </c>
      <c r="H36" s="4"/>
      <c r="J36" s="3" t="s">
        <v>88</v>
      </c>
      <c r="K36" s="14" t="str">
        <f t="shared" si="0"/>
        <v/>
      </c>
      <c r="L36" s="3" t="str">
        <f t="shared" ca="1" si="1"/>
        <v>CRITICO(MAS 30 DIAS)</v>
      </c>
    </row>
    <row r="37" spans="1:12" x14ac:dyDescent="0.25">
      <c r="A37" s="3" t="str">
        <f t="shared" si="2"/>
        <v>oct</v>
      </c>
      <c r="B37" s="6" t="s">
        <v>104</v>
      </c>
      <c r="C37" s="3">
        <v>4</v>
      </c>
      <c r="D37" s="16">
        <v>46300</v>
      </c>
      <c r="E37" s="6"/>
      <c r="F37" s="6"/>
      <c r="G37" s="6" t="s">
        <v>626</v>
      </c>
      <c r="H37" s="4"/>
      <c r="J37" s="3" t="s">
        <v>89</v>
      </c>
      <c r="K37" s="14">
        <f t="shared" si="0"/>
        <v>46300</v>
      </c>
      <c r="L37" s="3" t="str">
        <f t="shared" ca="1" si="1"/>
        <v>AL DIA (MENOS 10 DIAS)</v>
      </c>
    </row>
    <row r="38" spans="1:12" x14ac:dyDescent="0.25">
      <c r="A38" s="3" t="str">
        <f t="shared" si="2"/>
        <v>oct</v>
      </c>
      <c r="B38" s="6" t="s">
        <v>34</v>
      </c>
      <c r="C38" s="3">
        <v>1</v>
      </c>
      <c r="D38" s="16">
        <v>46300</v>
      </c>
      <c r="E38" s="6"/>
      <c r="F38" s="6"/>
      <c r="G38" s="6" t="s">
        <v>626</v>
      </c>
      <c r="H38" s="4"/>
      <c r="J38" s="3" t="s">
        <v>90</v>
      </c>
      <c r="K38" s="14">
        <f t="shared" si="0"/>
        <v>46300</v>
      </c>
      <c r="L38" s="3" t="str">
        <f t="shared" ca="1" si="1"/>
        <v>AL DIA (MENOS 10 DIAS)</v>
      </c>
    </row>
    <row r="39" spans="1:12" x14ac:dyDescent="0.25">
      <c r="A39" s="3" t="str">
        <f t="shared" si="2"/>
        <v>oct</v>
      </c>
      <c r="B39" s="6" t="s">
        <v>105</v>
      </c>
      <c r="C39" s="3">
        <v>9</v>
      </c>
      <c r="D39" s="16">
        <v>46300</v>
      </c>
      <c r="E39" s="6"/>
      <c r="F39" s="6"/>
      <c r="G39" s="6" t="s">
        <v>626</v>
      </c>
      <c r="H39" s="4"/>
      <c r="J39" s="3" t="s">
        <v>91</v>
      </c>
      <c r="K39" s="14" t="str">
        <f t="shared" si="0"/>
        <v/>
      </c>
      <c r="L39" s="3" t="str">
        <f t="shared" ca="1" si="1"/>
        <v>CRITICO(MAS 30 DIAS)</v>
      </c>
    </row>
    <row r="40" spans="1:12" x14ac:dyDescent="0.25">
      <c r="A40" s="3" t="str">
        <f t="shared" si="2"/>
        <v>oct</v>
      </c>
      <c r="B40" s="6" t="s">
        <v>36</v>
      </c>
      <c r="C40" s="3">
        <v>8</v>
      </c>
      <c r="D40" s="16">
        <v>46300</v>
      </c>
      <c r="E40" s="6"/>
      <c r="F40" s="6"/>
      <c r="G40" s="6" t="s">
        <v>626</v>
      </c>
      <c r="H40" s="4"/>
      <c r="J40" s="3" t="s">
        <v>92</v>
      </c>
      <c r="K40" s="14" t="str">
        <f t="shared" si="0"/>
        <v/>
      </c>
      <c r="L40" s="3" t="str">
        <f t="shared" ca="1" si="1"/>
        <v>CRITICO(MAS 30 DIAS)</v>
      </c>
    </row>
    <row r="41" spans="1:12" x14ac:dyDescent="0.25">
      <c r="A41" s="3" t="str">
        <f t="shared" si="2"/>
        <v>oct</v>
      </c>
      <c r="B41" s="6" t="s">
        <v>106</v>
      </c>
      <c r="C41" s="3">
        <v>7</v>
      </c>
      <c r="D41" s="16">
        <v>46300</v>
      </c>
      <c r="E41" s="6"/>
      <c r="F41" s="6"/>
      <c r="G41" s="6" t="s">
        <v>626</v>
      </c>
      <c r="H41" s="4"/>
      <c r="J41" s="3" t="s">
        <v>93</v>
      </c>
      <c r="K41" s="14" t="str">
        <f t="shared" si="0"/>
        <v/>
      </c>
      <c r="L41" s="3" t="str">
        <f t="shared" ca="1" si="1"/>
        <v>CRITICO(MAS 30 DIAS)</v>
      </c>
    </row>
    <row r="42" spans="1:12" x14ac:dyDescent="0.25">
      <c r="A42" s="3" t="str">
        <f t="shared" si="2"/>
        <v>oct</v>
      </c>
      <c r="B42" s="6" t="s">
        <v>107</v>
      </c>
      <c r="C42" s="3">
        <v>19</v>
      </c>
      <c r="D42" s="16">
        <v>46300</v>
      </c>
      <c r="E42" s="6"/>
      <c r="F42" s="6"/>
      <c r="G42" s="6" t="s">
        <v>626</v>
      </c>
      <c r="H42" s="4"/>
      <c r="J42" s="3" t="s">
        <v>94</v>
      </c>
      <c r="K42" s="14" t="str">
        <f t="shared" si="0"/>
        <v/>
      </c>
      <c r="L42" s="3" t="str">
        <f t="shared" ca="1" si="1"/>
        <v>CRITICO(MAS 30 DIAS)</v>
      </c>
    </row>
    <row r="43" spans="1:12" x14ac:dyDescent="0.25">
      <c r="A43" s="3" t="str">
        <f t="shared" si="2"/>
        <v>oct</v>
      </c>
      <c r="B43" s="6" t="s">
        <v>108</v>
      </c>
      <c r="C43" s="3">
        <v>4</v>
      </c>
      <c r="D43" s="16">
        <v>46300</v>
      </c>
      <c r="E43" s="6"/>
      <c r="F43" s="6"/>
      <c r="G43" s="6" t="s">
        <v>626</v>
      </c>
      <c r="H43" s="4"/>
      <c r="J43" s="3" t="s">
        <v>95</v>
      </c>
      <c r="K43" s="14" t="str">
        <f t="shared" si="0"/>
        <v/>
      </c>
      <c r="L43" s="3" t="str">
        <f t="shared" ca="1" si="1"/>
        <v>CRITICO(MAS 30 DIAS)</v>
      </c>
    </row>
    <row r="44" spans="1:12" x14ac:dyDescent="0.25">
      <c r="A44" s="3" t="str">
        <f t="shared" si="2"/>
        <v>oct</v>
      </c>
      <c r="B44" s="6" t="s">
        <v>164</v>
      </c>
      <c r="C44" s="3">
        <v>367</v>
      </c>
      <c r="D44" s="16">
        <v>46309</v>
      </c>
      <c r="E44" s="6">
        <v>3</v>
      </c>
      <c r="F44" s="6">
        <v>1</v>
      </c>
      <c r="G44" s="6" t="s">
        <v>626</v>
      </c>
      <c r="H44" s="4"/>
      <c r="J44" s="3" t="s">
        <v>96</v>
      </c>
      <c r="K44" s="14" t="str">
        <f t="shared" si="0"/>
        <v/>
      </c>
      <c r="L44" s="3" t="str">
        <f t="shared" ca="1" si="1"/>
        <v>CRITICO(MAS 30 DIAS)</v>
      </c>
    </row>
    <row r="45" spans="1:12" x14ac:dyDescent="0.25">
      <c r="A45" s="3" t="str">
        <f t="shared" si="2"/>
        <v>oct</v>
      </c>
      <c r="B45" s="6" t="s">
        <v>65</v>
      </c>
      <c r="C45" s="3">
        <v>1284</v>
      </c>
      <c r="D45" s="16">
        <v>46310</v>
      </c>
      <c r="E45" s="6"/>
      <c r="F45" s="6"/>
      <c r="G45" s="6" t="s">
        <v>626</v>
      </c>
      <c r="H45" s="4"/>
      <c r="J45" s="3" t="s">
        <v>97</v>
      </c>
      <c r="K45" s="14" t="str">
        <f t="shared" si="0"/>
        <v/>
      </c>
      <c r="L45" s="3" t="str">
        <f t="shared" ca="1" si="1"/>
        <v>CRITICO(MAS 30 DIAS)</v>
      </c>
    </row>
    <row r="46" spans="1:12" x14ac:dyDescent="0.25">
      <c r="A46" s="3" t="str">
        <f t="shared" si="2"/>
        <v>oct</v>
      </c>
      <c r="B46" s="6" t="s">
        <v>176</v>
      </c>
      <c r="C46" s="3">
        <v>11</v>
      </c>
      <c r="D46" s="16">
        <v>46310</v>
      </c>
      <c r="E46" s="6"/>
      <c r="F46" s="6"/>
      <c r="G46" s="6" t="s">
        <v>612</v>
      </c>
      <c r="H46" s="4"/>
      <c r="J46" s="3" t="s">
        <v>98</v>
      </c>
      <c r="K46" s="14">
        <f t="shared" si="0"/>
        <v>46311</v>
      </c>
      <c r="L46" s="3" t="str">
        <f t="shared" ca="1" si="1"/>
        <v>AL DIA (MENOS 10 DIAS)</v>
      </c>
    </row>
    <row r="47" spans="1:12" x14ac:dyDescent="0.25">
      <c r="A47" s="3" t="str">
        <f t="shared" si="2"/>
        <v>oct</v>
      </c>
      <c r="B47" s="6" t="s">
        <v>67</v>
      </c>
      <c r="C47" s="3">
        <v>0</v>
      </c>
      <c r="D47" s="16">
        <v>46310</v>
      </c>
      <c r="E47" s="6"/>
      <c r="F47" s="6"/>
      <c r="G47" s="6" t="s">
        <v>612</v>
      </c>
      <c r="H47" s="4"/>
      <c r="J47" s="3" t="s">
        <v>31</v>
      </c>
      <c r="K47" s="14">
        <f t="shared" si="0"/>
        <v>46300</v>
      </c>
      <c r="L47" s="3" t="str">
        <f t="shared" ca="1" si="1"/>
        <v>AL DIA (MENOS 10 DIAS)</v>
      </c>
    </row>
    <row r="48" spans="1:12" x14ac:dyDescent="0.25">
      <c r="A48" s="3" t="str">
        <f t="shared" si="2"/>
        <v>oct</v>
      </c>
      <c r="B48" s="6" t="s">
        <v>82</v>
      </c>
      <c r="C48" s="3">
        <v>6</v>
      </c>
      <c r="D48" s="16">
        <v>46310</v>
      </c>
      <c r="E48" s="6"/>
      <c r="F48" s="6"/>
      <c r="G48" s="6" t="s">
        <v>612</v>
      </c>
      <c r="H48" s="4"/>
      <c r="J48" s="3" t="s">
        <v>99</v>
      </c>
      <c r="K48" s="14" t="str">
        <f t="shared" si="0"/>
        <v/>
      </c>
      <c r="L48" s="3" t="str">
        <f t="shared" ca="1" si="1"/>
        <v>CRITICO(MAS 30 DIAS)</v>
      </c>
    </row>
    <row r="49" spans="1:12" x14ac:dyDescent="0.25">
      <c r="A49" s="3" t="str">
        <f t="shared" si="2"/>
        <v>oct</v>
      </c>
      <c r="B49" s="6" t="s">
        <v>117</v>
      </c>
      <c r="C49" s="3">
        <v>1</v>
      </c>
      <c r="D49" s="16">
        <v>46310</v>
      </c>
      <c r="E49" s="6"/>
      <c r="F49" s="6"/>
      <c r="G49" s="6" t="s">
        <v>624</v>
      </c>
      <c r="H49" s="4"/>
      <c r="J49" s="3" t="s">
        <v>100</v>
      </c>
      <c r="K49" s="14" t="str">
        <f t="shared" si="0"/>
        <v/>
      </c>
      <c r="L49" s="3" t="str">
        <f t="shared" ca="1" si="1"/>
        <v>CRITICO(MAS 30 DIAS)</v>
      </c>
    </row>
    <row r="50" spans="1:12" x14ac:dyDescent="0.25">
      <c r="A50" s="3" t="str">
        <f t="shared" si="2"/>
        <v>oct</v>
      </c>
      <c r="B50" s="6" t="s">
        <v>16</v>
      </c>
      <c r="C50" s="3">
        <v>31</v>
      </c>
      <c r="D50" s="16">
        <v>46310</v>
      </c>
      <c r="E50" s="6"/>
      <c r="F50" s="6"/>
      <c r="G50" s="6" t="s">
        <v>626</v>
      </c>
      <c r="H50" s="4"/>
      <c r="J50" s="3" t="s">
        <v>101</v>
      </c>
      <c r="K50" s="14">
        <f t="shared" si="0"/>
        <v>46300</v>
      </c>
      <c r="L50" s="3" t="str">
        <f t="shared" ca="1" si="1"/>
        <v>AL DIA (MENOS 10 DIAS)</v>
      </c>
    </row>
    <row r="51" spans="1:12" x14ac:dyDescent="0.25">
      <c r="A51" s="3" t="str">
        <f t="shared" si="2"/>
        <v>oct</v>
      </c>
      <c r="B51" s="6" t="s">
        <v>38</v>
      </c>
      <c r="C51" s="3">
        <v>60</v>
      </c>
      <c r="D51" s="16">
        <v>46300</v>
      </c>
      <c r="E51" s="6"/>
      <c r="F51" s="6"/>
      <c r="G51" s="6" t="s">
        <v>626</v>
      </c>
      <c r="H51" s="4"/>
      <c r="J51" s="3" t="s">
        <v>33</v>
      </c>
      <c r="K51" s="14">
        <f t="shared" si="0"/>
        <v>46300</v>
      </c>
      <c r="L51" s="3" t="str">
        <f t="shared" ca="1" si="1"/>
        <v>AL DIA (MENOS 10 DIAS)</v>
      </c>
    </row>
    <row r="52" spans="1:12" x14ac:dyDescent="0.25">
      <c r="A52" s="3" t="str">
        <f t="shared" si="2"/>
        <v>oct</v>
      </c>
      <c r="B52" s="6" t="s">
        <v>119</v>
      </c>
      <c r="C52" s="3">
        <v>7</v>
      </c>
      <c r="D52" s="16">
        <v>46300</v>
      </c>
      <c r="E52" s="6"/>
      <c r="F52" s="6"/>
      <c r="G52" s="6" t="s">
        <v>626</v>
      </c>
      <c r="H52" s="4"/>
      <c r="J52" s="3" t="s">
        <v>102</v>
      </c>
      <c r="K52" s="14">
        <f t="shared" si="0"/>
        <v>46300</v>
      </c>
      <c r="L52" s="3" t="str">
        <f t="shared" ca="1" si="1"/>
        <v>AL DIA (MENOS 10 DIAS)</v>
      </c>
    </row>
    <row r="53" spans="1:12" x14ac:dyDescent="0.25">
      <c r="A53" s="3" t="str">
        <f t="shared" si="2"/>
        <v>oct</v>
      </c>
      <c r="B53" s="6" t="s">
        <v>45</v>
      </c>
      <c r="C53" s="3">
        <v>26</v>
      </c>
      <c r="D53" s="16">
        <v>46300</v>
      </c>
      <c r="E53" s="6"/>
      <c r="F53" s="6"/>
      <c r="G53" s="6" t="s">
        <v>626</v>
      </c>
      <c r="H53" s="4"/>
      <c r="J53" s="3" t="s">
        <v>103</v>
      </c>
      <c r="K53" s="14">
        <f t="shared" si="0"/>
        <v>46300</v>
      </c>
      <c r="L53" s="3" t="str">
        <f t="shared" ca="1" si="1"/>
        <v>AL DIA (MENOS 10 DIAS)</v>
      </c>
    </row>
    <row r="54" spans="1:12" x14ac:dyDescent="0.25">
      <c r="A54" s="3" t="str">
        <f t="shared" si="2"/>
        <v>oct</v>
      </c>
      <c r="B54" s="6" t="s">
        <v>121</v>
      </c>
      <c r="C54" s="3">
        <v>10</v>
      </c>
      <c r="D54" s="16">
        <v>46300</v>
      </c>
      <c r="E54" s="6"/>
      <c r="F54" s="6"/>
      <c r="G54" s="6" t="s">
        <v>626</v>
      </c>
      <c r="H54" s="4"/>
      <c r="J54" s="3" t="s">
        <v>104</v>
      </c>
      <c r="K54" s="14">
        <f t="shared" si="0"/>
        <v>46300</v>
      </c>
      <c r="L54" s="3" t="str">
        <f t="shared" ca="1" si="1"/>
        <v>AL DIA (MENOS 10 DIAS)</v>
      </c>
    </row>
    <row r="55" spans="1:12" x14ac:dyDescent="0.25">
      <c r="A55" s="3" t="str">
        <f t="shared" si="2"/>
        <v>oct</v>
      </c>
      <c r="B55" s="6" t="s">
        <v>120</v>
      </c>
      <c r="C55" s="3">
        <v>14</v>
      </c>
      <c r="D55" s="16">
        <v>46300</v>
      </c>
      <c r="E55" s="6"/>
      <c r="F55" s="6"/>
      <c r="G55" s="6" t="s">
        <v>626</v>
      </c>
      <c r="H55" s="4"/>
      <c r="J55" s="3" t="s">
        <v>34</v>
      </c>
      <c r="K55" s="14">
        <f t="shared" si="0"/>
        <v>46300</v>
      </c>
      <c r="L55" s="3" t="str">
        <f t="shared" ca="1" si="1"/>
        <v>AL DIA (MENOS 10 DIAS)</v>
      </c>
    </row>
    <row r="56" spans="1:12" x14ac:dyDescent="0.25">
      <c r="A56" s="3" t="str">
        <f t="shared" si="2"/>
        <v>oct</v>
      </c>
      <c r="B56" s="6" t="s">
        <v>123</v>
      </c>
      <c r="C56" s="3">
        <v>1</v>
      </c>
      <c r="D56" s="16">
        <v>46310</v>
      </c>
      <c r="E56" s="6"/>
      <c r="F56" s="6"/>
      <c r="G56" s="6" t="s">
        <v>626</v>
      </c>
      <c r="H56" s="4"/>
      <c r="J56" s="3" t="s">
        <v>105</v>
      </c>
      <c r="K56" s="14">
        <f t="shared" si="0"/>
        <v>46300</v>
      </c>
      <c r="L56" s="3" t="str">
        <f t="shared" ca="1" si="1"/>
        <v>AL DIA (MENOS 10 DIAS)</v>
      </c>
    </row>
    <row r="57" spans="1:12" x14ac:dyDescent="0.25">
      <c r="A57" s="3" t="str">
        <f t="shared" si="2"/>
        <v>oct</v>
      </c>
      <c r="B57" s="6" t="s">
        <v>126</v>
      </c>
      <c r="C57" s="3">
        <v>28</v>
      </c>
      <c r="D57" s="16">
        <v>46300</v>
      </c>
      <c r="E57" s="6"/>
      <c r="F57" s="6"/>
      <c r="G57" s="6" t="s">
        <v>626</v>
      </c>
      <c r="H57" s="4"/>
      <c r="J57" s="3" t="s">
        <v>36</v>
      </c>
      <c r="K57" s="14">
        <f t="shared" si="0"/>
        <v>46300</v>
      </c>
      <c r="L57" s="3" t="str">
        <f t="shared" ca="1" si="1"/>
        <v>AL DIA (MENOS 10 DIAS)</v>
      </c>
    </row>
    <row r="58" spans="1:12" x14ac:dyDescent="0.25">
      <c r="A58" s="3" t="str">
        <f t="shared" si="2"/>
        <v>oct</v>
      </c>
      <c r="B58" s="6" t="s">
        <v>178</v>
      </c>
      <c r="C58" s="3">
        <v>4</v>
      </c>
      <c r="D58" s="16">
        <v>46300</v>
      </c>
      <c r="E58" s="6"/>
      <c r="F58" s="6"/>
      <c r="G58" s="6" t="s">
        <v>626</v>
      </c>
      <c r="H58" s="4"/>
      <c r="J58" s="3" t="s">
        <v>106</v>
      </c>
      <c r="K58" s="14">
        <f t="shared" si="0"/>
        <v>46300</v>
      </c>
      <c r="L58" s="3" t="str">
        <f t="shared" ca="1" si="1"/>
        <v>AL DIA (MENOS 10 DIAS)</v>
      </c>
    </row>
    <row r="59" spans="1:12" x14ac:dyDescent="0.25">
      <c r="A59" s="3" t="str">
        <f t="shared" si="2"/>
        <v>oct</v>
      </c>
      <c r="B59" s="6" t="s">
        <v>13</v>
      </c>
      <c r="C59" s="3">
        <v>33</v>
      </c>
      <c r="D59" s="16">
        <v>46300</v>
      </c>
      <c r="E59" s="6"/>
      <c r="F59" s="6"/>
      <c r="G59" s="6" t="s">
        <v>626</v>
      </c>
      <c r="H59" s="4"/>
      <c r="J59" s="3" t="s">
        <v>107</v>
      </c>
      <c r="K59" s="14">
        <f t="shared" si="0"/>
        <v>46300</v>
      </c>
      <c r="L59" s="3" t="str">
        <f t="shared" ca="1" si="1"/>
        <v>AL DIA (MENOS 10 DIAS)</v>
      </c>
    </row>
    <row r="60" spans="1:12" x14ac:dyDescent="0.25">
      <c r="A60" s="3" t="str">
        <f t="shared" si="2"/>
        <v>oct</v>
      </c>
      <c r="B60" s="6" t="s">
        <v>127</v>
      </c>
      <c r="C60" s="3">
        <v>8</v>
      </c>
      <c r="D60" s="16">
        <v>46300</v>
      </c>
      <c r="E60" s="6"/>
      <c r="F60" s="6"/>
      <c r="G60" s="6" t="s">
        <v>626</v>
      </c>
      <c r="H60" s="4"/>
      <c r="J60" s="3" t="s">
        <v>108</v>
      </c>
      <c r="K60" s="14">
        <f t="shared" si="0"/>
        <v>46300</v>
      </c>
      <c r="L60" s="3" t="str">
        <f t="shared" ca="1" si="1"/>
        <v>AL DIA (MENOS 10 DIAS)</v>
      </c>
    </row>
    <row r="61" spans="1:12" x14ac:dyDescent="0.25">
      <c r="A61" s="3" t="str">
        <f t="shared" si="2"/>
        <v>oct</v>
      </c>
      <c r="B61" s="6" t="s">
        <v>125</v>
      </c>
      <c r="C61" s="3">
        <v>8</v>
      </c>
      <c r="D61" s="16">
        <v>46300</v>
      </c>
      <c r="E61" s="6"/>
      <c r="F61" s="6"/>
      <c r="G61" s="6" t="s">
        <v>626</v>
      </c>
      <c r="H61" s="4"/>
      <c r="J61" s="3" t="s">
        <v>109</v>
      </c>
      <c r="K61" s="14" t="str">
        <f t="shared" si="0"/>
        <v/>
      </c>
      <c r="L61" s="3" t="str">
        <f t="shared" ca="1" si="1"/>
        <v>CRITICO(MAS 30 DIAS)</v>
      </c>
    </row>
    <row r="62" spans="1:12" x14ac:dyDescent="0.25">
      <c r="A62" s="3" t="str">
        <f t="shared" si="2"/>
        <v>oct</v>
      </c>
      <c r="B62" s="6" t="s">
        <v>48</v>
      </c>
      <c r="C62" s="3">
        <v>15</v>
      </c>
      <c r="D62" s="16">
        <v>46300</v>
      </c>
      <c r="E62" s="6"/>
      <c r="F62" s="6"/>
      <c r="G62" s="6" t="s">
        <v>626</v>
      </c>
      <c r="H62" s="4"/>
      <c r="J62" s="3" t="s">
        <v>110</v>
      </c>
      <c r="K62" s="14" t="str">
        <f t="shared" si="0"/>
        <v/>
      </c>
      <c r="L62" s="3" t="str">
        <f t="shared" ca="1" si="1"/>
        <v>CRITICO(MAS 30 DIAS)</v>
      </c>
    </row>
    <row r="63" spans="1:12" x14ac:dyDescent="0.25">
      <c r="A63" s="3" t="str">
        <f t="shared" si="2"/>
        <v>oct</v>
      </c>
      <c r="B63" s="6" t="s">
        <v>129</v>
      </c>
      <c r="C63" s="3">
        <v>8</v>
      </c>
      <c r="D63" s="16">
        <v>46300</v>
      </c>
      <c r="E63" s="6"/>
      <c r="F63" s="6"/>
      <c r="G63" s="6" t="s">
        <v>626</v>
      </c>
      <c r="H63" s="4"/>
      <c r="J63" s="3" t="s">
        <v>37</v>
      </c>
      <c r="K63" s="14" t="str">
        <f t="shared" si="0"/>
        <v/>
      </c>
      <c r="L63" s="3" t="str">
        <f t="shared" ca="1" si="1"/>
        <v>CRITICO(MAS 30 DIAS)</v>
      </c>
    </row>
    <row r="64" spans="1:12" x14ac:dyDescent="0.25">
      <c r="A64" s="3" t="str">
        <f t="shared" si="2"/>
        <v>oct</v>
      </c>
      <c r="B64" s="6" t="s">
        <v>133</v>
      </c>
      <c r="C64" s="3">
        <v>1</v>
      </c>
      <c r="D64" s="16">
        <v>46300</v>
      </c>
      <c r="E64" s="6"/>
      <c r="F64" s="6"/>
      <c r="G64" s="6" t="s">
        <v>626</v>
      </c>
      <c r="H64" s="4"/>
      <c r="J64" s="3" t="s">
        <v>111</v>
      </c>
      <c r="K64" s="14" t="str">
        <f t="shared" si="0"/>
        <v/>
      </c>
      <c r="L64" s="3" t="str">
        <f t="shared" ca="1" si="1"/>
        <v>CRITICO(MAS 30 DIAS)</v>
      </c>
    </row>
    <row r="65" spans="1:12" x14ac:dyDescent="0.25">
      <c r="A65" s="3" t="str">
        <f t="shared" si="2"/>
        <v>oct</v>
      </c>
      <c r="B65" s="6" t="s">
        <v>134</v>
      </c>
      <c r="C65" s="3">
        <v>4</v>
      </c>
      <c r="D65" s="16">
        <v>46300</v>
      </c>
      <c r="E65" s="6"/>
      <c r="F65" s="6"/>
      <c r="G65" s="6" t="s">
        <v>626</v>
      </c>
      <c r="H65" s="4"/>
      <c r="J65" s="3" t="s">
        <v>112</v>
      </c>
      <c r="K65" s="14" t="str">
        <f t="shared" si="0"/>
        <v/>
      </c>
      <c r="L65" s="3" t="str">
        <f t="shared" ca="1" si="1"/>
        <v>CRITICO(MAS 30 DIAS)</v>
      </c>
    </row>
    <row r="66" spans="1:12" x14ac:dyDescent="0.25">
      <c r="A66" s="3" t="str">
        <f t="shared" si="2"/>
        <v>oct</v>
      </c>
      <c r="B66" s="6" t="s">
        <v>50</v>
      </c>
      <c r="C66" s="3">
        <v>2</v>
      </c>
      <c r="D66" s="16">
        <v>46300</v>
      </c>
      <c r="E66" s="6"/>
      <c r="F66" s="6"/>
      <c r="G66" s="6" t="s">
        <v>626</v>
      </c>
      <c r="H66" s="4"/>
      <c r="J66" s="3" t="s">
        <v>113</v>
      </c>
      <c r="K66" s="14" t="str">
        <f t="shared" si="0"/>
        <v/>
      </c>
      <c r="L66" s="3" t="str">
        <f t="shared" ca="1" si="1"/>
        <v>CRITICO(MAS 30 DIAS)</v>
      </c>
    </row>
    <row r="67" spans="1:12" x14ac:dyDescent="0.25">
      <c r="A67" s="3" t="str">
        <f t="shared" si="2"/>
        <v>oct</v>
      </c>
      <c r="B67" s="6" t="s">
        <v>51</v>
      </c>
      <c r="C67" s="3">
        <v>0</v>
      </c>
      <c r="D67" s="16">
        <v>46310</v>
      </c>
      <c r="E67" s="6"/>
      <c r="F67" s="6"/>
      <c r="G67" s="6" t="s">
        <v>624</v>
      </c>
      <c r="H67" s="4"/>
      <c r="J67" s="3" t="s">
        <v>114</v>
      </c>
      <c r="K67" s="14" t="str">
        <f t="shared" si="0"/>
        <v/>
      </c>
      <c r="L67" s="3" t="str">
        <f t="shared" ca="1" si="1"/>
        <v>CRITICO(MAS 30 DIAS)</v>
      </c>
    </row>
    <row r="68" spans="1:12" x14ac:dyDescent="0.25">
      <c r="A68" s="3" t="str">
        <f t="shared" si="2"/>
        <v>oct</v>
      </c>
      <c r="B68" s="6" t="s">
        <v>14</v>
      </c>
      <c r="C68" s="3">
        <v>1</v>
      </c>
      <c r="D68" s="16">
        <v>46300</v>
      </c>
      <c r="E68" s="6"/>
      <c r="F68" s="6"/>
      <c r="G68" s="6" t="s">
        <v>626</v>
      </c>
      <c r="H68" s="4"/>
      <c r="J68" s="3" t="s">
        <v>38</v>
      </c>
      <c r="K68" s="14">
        <f t="shared" ref="K68:K131" si="3">IFERROR(LOOKUP(2,1/($B$3:$B$1001=J68),$D$3:$D$1001),"")</f>
        <v>46300</v>
      </c>
      <c r="L68" s="3" t="str">
        <f t="shared" ref="L68:L131" ca="1" si="4">IF(OR(K68="",K68=0),"CRITICO(MAS 30 DIAS)",IF(TODAY()-K68&gt;=30,"CRITICO(MAS 30 DIAS)",IF(TODAY()-K68&gt;=15,"POR REALIZAR(ALERTA)","AL DIA (MENOS 10 DIAS)")))</f>
        <v>AL DIA (MENOS 10 DIAS)</v>
      </c>
    </row>
    <row r="69" spans="1:12" x14ac:dyDescent="0.25">
      <c r="A69" s="3" t="str">
        <f t="shared" si="2"/>
        <v>oct</v>
      </c>
      <c r="B69" s="6" t="s">
        <v>52</v>
      </c>
      <c r="C69" s="3">
        <v>3</v>
      </c>
      <c r="D69" s="16">
        <v>46300</v>
      </c>
      <c r="E69" s="6"/>
      <c r="F69" s="6"/>
      <c r="G69" s="6" t="s">
        <v>626</v>
      </c>
      <c r="H69" s="4"/>
      <c r="J69" s="3" t="s">
        <v>39</v>
      </c>
      <c r="K69" s="14" t="str">
        <f t="shared" si="3"/>
        <v/>
      </c>
      <c r="L69" s="3" t="str">
        <f t="shared" ca="1" si="4"/>
        <v>CRITICO(MAS 30 DIAS)</v>
      </c>
    </row>
    <row r="70" spans="1:12" x14ac:dyDescent="0.25">
      <c r="A70" s="3" t="str">
        <f t="shared" ref="A70:A133" si="5">TEXT($D70,"mmm")</f>
        <v>oct</v>
      </c>
      <c r="B70" s="6" t="s">
        <v>53</v>
      </c>
      <c r="C70" s="3">
        <v>6</v>
      </c>
      <c r="D70" s="16">
        <v>46300</v>
      </c>
      <c r="E70" s="6"/>
      <c r="F70" s="6"/>
      <c r="G70" s="6" t="s">
        <v>626</v>
      </c>
      <c r="H70" s="4"/>
      <c r="J70" s="3" t="s">
        <v>115</v>
      </c>
      <c r="K70" s="14">
        <f t="shared" si="3"/>
        <v>46302</v>
      </c>
      <c r="L70" s="3" t="str">
        <f t="shared" ca="1" si="4"/>
        <v>AL DIA (MENOS 10 DIAS)</v>
      </c>
    </row>
    <row r="71" spans="1:12" x14ac:dyDescent="0.25">
      <c r="A71" s="3" t="str">
        <f t="shared" si="5"/>
        <v>oct</v>
      </c>
      <c r="B71" s="6" t="s">
        <v>155</v>
      </c>
      <c r="C71" s="3">
        <v>215</v>
      </c>
      <c r="D71" s="16">
        <v>46300</v>
      </c>
      <c r="E71" s="6"/>
      <c r="F71" s="6"/>
      <c r="G71" s="6" t="s">
        <v>626</v>
      </c>
      <c r="H71" s="4"/>
      <c r="J71" s="3" t="s">
        <v>116</v>
      </c>
      <c r="K71" s="14">
        <f t="shared" si="3"/>
        <v>46308</v>
      </c>
      <c r="L71" s="3" t="str">
        <f t="shared" ca="1" si="4"/>
        <v>AL DIA (MENOS 10 DIAS)</v>
      </c>
    </row>
    <row r="72" spans="1:12" x14ac:dyDescent="0.25">
      <c r="A72" s="3" t="str">
        <f t="shared" si="5"/>
        <v>oct</v>
      </c>
      <c r="B72" s="6" t="s">
        <v>137</v>
      </c>
      <c r="C72" s="7">
        <v>6</v>
      </c>
      <c r="D72" s="16">
        <v>46300</v>
      </c>
      <c r="E72" s="6"/>
      <c r="F72" s="6"/>
      <c r="G72" s="6" t="s">
        <v>626</v>
      </c>
      <c r="H72" s="4"/>
      <c r="J72" s="3" t="s">
        <v>117</v>
      </c>
      <c r="K72" s="14">
        <f t="shared" si="3"/>
        <v>46310</v>
      </c>
      <c r="L72" s="3" t="str">
        <f t="shared" ca="1" si="4"/>
        <v>AL DIA (MENOS 10 DIAS)</v>
      </c>
    </row>
    <row r="73" spans="1:12" x14ac:dyDescent="0.25">
      <c r="A73" s="3" t="str">
        <f t="shared" si="5"/>
        <v>oct</v>
      </c>
      <c r="B73" s="6" t="s">
        <v>158</v>
      </c>
      <c r="C73" s="3">
        <v>20</v>
      </c>
      <c r="D73" s="16">
        <v>46300</v>
      </c>
      <c r="E73" s="6"/>
      <c r="F73" s="6"/>
      <c r="G73" s="6" t="s">
        <v>626</v>
      </c>
      <c r="H73" s="4"/>
      <c r="J73" s="3" t="s">
        <v>6</v>
      </c>
      <c r="K73" s="14">
        <f t="shared" si="3"/>
        <v>46296</v>
      </c>
      <c r="L73" s="3" t="str">
        <f t="shared" ca="1" si="4"/>
        <v>POR REALIZAR(ALERTA)</v>
      </c>
    </row>
    <row r="74" spans="1:12" x14ac:dyDescent="0.25">
      <c r="A74" s="3" t="str">
        <f t="shared" si="5"/>
        <v>oct</v>
      </c>
      <c r="B74" s="6" t="s">
        <v>154</v>
      </c>
      <c r="C74" s="3">
        <v>8</v>
      </c>
      <c r="D74" s="16">
        <v>46300</v>
      </c>
      <c r="E74" s="6"/>
      <c r="F74" s="6"/>
      <c r="G74" s="6" t="s">
        <v>626</v>
      </c>
      <c r="H74" s="4"/>
      <c r="J74" s="3" t="s">
        <v>118</v>
      </c>
      <c r="K74" s="14">
        <f t="shared" si="3"/>
        <v>46304</v>
      </c>
      <c r="L74" s="3" t="str">
        <f t="shared" ca="1" si="4"/>
        <v>AL DIA (MENOS 10 DIAS)</v>
      </c>
    </row>
    <row r="75" spans="1:12" x14ac:dyDescent="0.25">
      <c r="A75" s="3" t="str">
        <f t="shared" si="5"/>
        <v>oct</v>
      </c>
      <c r="B75" s="6" t="s">
        <v>73</v>
      </c>
      <c r="C75" s="3">
        <v>10</v>
      </c>
      <c r="D75" s="16">
        <v>46310</v>
      </c>
      <c r="E75" s="6">
        <v>1</v>
      </c>
      <c r="F75" s="6">
        <v>1</v>
      </c>
      <c r="G75" s="6" t="s">
        <v>624</v>
      </c>
      <c r="H75" s="4"/>
      <c r="J75" s="3" t="s">
        <v>119</v>
      </c>
      <c r="K75" s="14">
        <f t="shared" si="3"/>
        <v>46300</v>
      </c>
      <c r="L75" s="3" t="str">
        <f t="shared" ca="1" si="4"/>
        <v>AL DIA (MENOS 10 DIAS)</v>
      </c>
    </row>
    <row r="76" spans="1:12" x14ac:dyDescent="0.25">
      <c r="A76" s="3" t="str">
        <f t="shared" si="5"/>
        <v>oct</v>
      </c>
      <c r="B76" s="6" t="s">
        <v>139</v>
      </c>
      <c r="C76" s="3">
        <v>10</v>
      </c>
      <c r="D76" s="16">
        <v>46300</v>
      </c>
      <c r="E76" s="6"/>
      <c r="F76" s="6"/>
      <c r="G76" s="6" t="s">
        <v>626</v>
      </c>
      <c r="H76" s="4"/>
      <c r="J76" s="3" t="s">
        <v>120</v>
      </c>
      <c r="K76" s="14">
        <f t="shared" si="3"/>
        <v>46300</v>
      </c>
      <c r="L76" s="3" t="str">
        <f t="shared" ca="1" si="4"/>
        <v>AL DIA (MENOS 10 DIAS)</v>
      </c>
    </row>
    <row r="77" spans="1:12" x14ac:dyDescent="0.25">
      <c r="A77" s="3" t="str">
        <f t="shared" si="5"/>
        <v>oct</v>
      </c>
      <c r="B77" s="6" t="s">
        <v>140</v>
      </c>
      <c r="C77" s="3">
        <v>1</v>
      </c>
      <c r="D77" s="16">
        <v>46300</v>
      </c>
      <c r="E77" s="6"/>
      <c r="F77" s="6"/>
      <c r="G77" s="6" t="s">
        <v>626</v>
      </c>
      <c r="H77" s="4"/>
      <c r="J77" s="3" t="s">
        <v>45</v>
      </c>
      <c r="K77" s="14">
        <f t="shared" si="3"/>
        <v>46300</v>
      </c>
      <c r="L77" s="3" t="str">
        <f t="shared" ca="1" si="4"/>
        <v>AL DIA (MENOS 10 DIAS)</v>
      </c>
    </row>
    <row r="78" spans="1:12" x14ac:dyDescent="0.25">
      <c r="A78" s="3" t="str">
        <f t="shared" si="5"/>
        <v>oct</v>
      </c>
      <c r="B78" s="6" t="s">
        <v>141</v>
      </c>
      <c r="C78" s="3">
        <v>9</v>
      </c>
      <c r="D78" s="16">
        <v>46300</v>
      </c>
      <c r="E78" s="6"/>
      <c r="F78" s="6"/>
      <c r="G78" s="6" t="s">
        <v>626</v>
      </c>
      <c r="H78" s="4"/>
      <c r="J78" s="3" t="s">
        <v>121</v>
      </c>
      <c r="K78" s="14">
        <f t="shared" si="3"/>
        <v>46300</v>
      </c>
      <c r="L78" s="3" t="str">
        <f t="shared" ca="1" si="4"/>
        <v>AL DIA (MENOS 10 DIAS)</v>
      </c>
    </row>
    <row r="79" spans="1:12" x14ac:dyDescent="0.25">
      <c r="A79" s="3" t="str">
        <f t="shared" si="5"/>
        <v>oct</v>
      </c>
      <c r="B79" s="6" t="s">
        <v>75</v>
      </c>
      <c r="C79" s="3">
        <v>3</v>
      </c>
      <c r="D79" s="16">
        <v>46300</v>
      </c>
      <c r="E79" s="6"/>
      <c r="F79" s="6"/>
      <c r="G79" s="6" t="s">
        <v>626</v>
      </c>
      <c r="H79" s="4"/>
      <c r="J79" s="3" t="s">
        <v>122</v>
      </c>
      <c r="K79" s="14" t="str">
        <f t="shared" si="3"/>
        <v/>
      </c>
      <c r="L79" s="3" t="str">
        <f t="shared" ca="1" si="4"/>
        <v>CRITICO(MAS 30 DIAS)</v>
      </c>
    </row>
    <row r="80" spans="1:12" x14ac:dyDescent="0.25">
      <c r="A80" s="3" t="str">
        <f t="shared" si="5"/>
        <v>oct</v>
      </c>
      <c r="B80" s="6" t="s">
        <v>83</v>
      </c>
      <c r="C80" s="3">
        <v>0</v>
      </c>
      <c r="D80" s="16">
        <v>46311</v>
      </c>
      <c r="E80" s="6"/>
      <c r="F80" s="6"/>
      <c r="G80" s="6" t="s">
        <v>624</v>
      </c>
      <c r="H80" s="4"/>
      <c r="J80" s="3" t="s">
        <v>123</v>
      </c>
      <c r="K80" s="14">
        <f t="shared" si="3"/>
        <v>46310</v>
      </c>
      <c r="L80" s="3" t="str">
        <f t="shared" ca="1" si="4"/>
        <v>AL DIA (MENOS 10 DIAS)</v>
      </c>
    </row>
    <row r="81" spans="1:12" x14ac:dyDescent="0.25">
      <c r="A81" s="3" t="str">
        <f t="shared" si="5"/>
        <v>oct</v>
      </c>
      <c r="B81" s="6" t="s">
        <v>98</v>
      </c>
      <c r="C81" s="3">
        <v>9</v>
      </c>
      <c r="D81" s="16">
        <v>46311</v>
      </c>
      <c r="E81" s="6"/>
      <c r="F81" s="6"/>
      <c r="G81" s="6" t="s">
        <v>626</v>
      </c>
      <c r="H81" s="4"/>
      <c r="J81" s="3" t="s">
        <v>124</v>
      </c>
      <c r="K81" s="14" t="str">
        <f t="shared" si="3"/>
        <v/>
      </c>
      <c r="L81" s="3" t="str">
        <f t="shared" ca="1" si="4"/>
        <v>CRITICO(MAS 30 DIAS)</v>
      </c>
    </row>
    <row r="82" spans="1:12" x14ac:dyDescent="0.25">
      <c r="A82" s="3" t="str">
        <f t="shared" si="5"/>
        <v>oct</v>
      </c>
      <c r="B82" s="6" t="s">
        <v>177</v>
      </c>
      <c r="C82" s="3">
        <v>2</v>
      </c>
      <c r="D82" s="16">
        <v>46300</v>
      </c>
      <c r="E82" s="6"/>
      <c r="F82" s="6"/>
      <c r="G82" s="6" t="s">
        <v>626</v>
      </c>
      <c r="H82" s="4"/>
      <c r="J82" s="3" t="s">
        <v>47</v>
      </c>
      <c r="K82" s="14" t="str">
        <f t="shared" si="3"/>
        <v/>
      </c>
      <c r="L82" s="3" t="str">
        <f t="shared" ca="1" si="4"/>
        <v>CRITICO(MAS 30 DIAS)</v>
      </c>
    </row>
    <row r="83" spans="1:12" x14ac:dyDescent="0.25">
      <c r="A83" s="3" t="str">
        <f t="shared" si="5"/>
        <v>oct</v>
      </c>
      <c r="B83" s="6" t="s">
        <v>157</v>
      </c>
      <c r="C83" s="3">
        <v>1</v>
      </c>
      <c r="D83" s="16">
        <v>46311</v>
      </c>
      <c r="E83" s="6"/>
      <c r="F83" s="6">
        <v>1</v>
      </c>
      <c r="G83" s="6" t="s">
        <v>624</v>
      </c>
      <c r="H83" s="4"/>
      <c r="J83" s="3" t="s">
        <v>125</v>
      </c>
      <c r="K83" s="14">
        <f t="shared" si="3"/>
        <v>46300</v>
      </c>
      <c r="L83" s="3" t="str">
        <f t="shared" ca="1" si="4"/>
        <v>AL DIA (MENOS 10 DIAS)</v>
      </c>
    </row>
    <row r="84" spans="1:12" x14ac:dyDescent="0.25">
      <c r="A84" s="3" t="str">
        <f t="shared" si="5"/>
        <v>oct</v>
      </c>
      <c r="B84" s="6" t="s">
        <v>175</v>
      </c>
      <c r="C84" s="3">
        <v>1</v>
      </c>
      <c r="D84" s="16">
        <v>46311</v>
      </c>
      <c r="E84" s="6"/>
      <c r="F84" s="6">
        <v>1</v>
      </c>
      <c r="G84" s="6" t="s">
        <v>624</v>
      </c>
      <c r="H84" s="4"/>
      <c r="J84" s="3" t="s">
        <v>126</v>
      </c>
      <c r="K84" s="14">
        <f t="shared" si="3"/>
        <v>46300</v>
      </c>
      <c r="L84" s="3" t="str">
        <f t="shared" ca="1" si="4"/>
        <v>AL DIA (MENOS 10 DIAS)</v>
      </c>
    </row>
    <row r="85" spans="1:12" x14ac:dyDescent="0.25">
      <c r="A85" s="3" t="str">
        <f t="shared" si="5"/>
        <v>oct</v>
      </c>
      <c r="B85" s="6" t="s">
        <v>130</v>
      </c>
      <c r="C85" s="3">
        <v>5</v>
      </c>
      <c r="D85" s="16">
        <v>46300</v>
      </c>
      <c r="E85" s="6"/>
      <c r="F85" s="6"/>
      <c r="G85" s="6" t="s">
        <v>626</v>
      </c>
      <c r="H85" s="4"/>
      <c r="J85" s="3" t="s">
        <v>10</v>
      </c>
      <c r="K85" s="14" t="str">
        <f t="shared" si="3"/>
        <v/>
      </c>
      <c r="L85" s="3" t="str">
        <f t="shared" ca="1" si="4"/>
        <v>CRITICO(MAS 30 DIAS)</v>
      </c>
    </row>
    <row r="86" spans="1:12" x14ac:dyDescent="0.25">
      <c r="A86" s="3" t="str">
        <f t="shared" si="5"/>
        <v>oct</v>
      </c>
      <c r="B86" s="6" t="s">
        <v>143</v>
      </c>
      <c r="C86" s="3">
        <v>2</v>
      </c>
      <c r="D86" s="16">
        <v>46300</v>
      </c>
      <c r="E86" s="6"/>
      <c r="F86" s="6"/>
      <c r="G86" s="6" t="s">
        <v>626</v>
      </c>
      <c r="H86" s="4"/>
      <c r="J86" s="3" t="s">
        <v>127</v>
      </c>
      <c r="K86" s="14">
        <f t="shared" si="3"/>
        <v>46300</v>
      </c>
      <c r="L86" s="3" t="str">
        <f t="shared" ca="1" si="4"/>
        <v>AL DIA (MENOS 10 DIAS)</v>
      </c>
    </row>
    <row r="87" spans="1:12" x14ac:dyDescent="0.25">
      <c r="A87" s="3" t="str">
        <f t="shared" si="5"/>
        <v>ene</v>
      </c>
      <c r="B87" s="6"/>
      <c r="C87" s="3"/>
      <c r="D87" s="16"/>
      <c r="E87" s="6"/>
      <c r="F87" s="6"/>
      <c r="G87" s="6"/>
      <c r="H87" s="4"/>
      <c r="J87" s="3" t="s">
        <v>128</v>
      </c>
      <c r="K87" s="14" t="str">
        <f t="shared" si="3"/>
        <v/>
      </c>
      <c r="L87" s="3" t="str">
        <f t="shared" ca="1" si="4"/>
        <v>CRITICO(MAS 30 DIAS)</v>
      </c>
    </row>
    <row r="88" spans="1:12" x14ac:dyDescent="0.25">
      <c r="A88" s="3" t="str">
        <f t="shared" si="5"/>
        <v>ene</v>
      </c>
      <c r="B88" s="6"/>
      <c r="C88" s="3"/>
      <c r="D88" s="16"/>
      <c r="E88" s="6"/>
      <c r="F88" s="6"/>
      <c r="G88" s="6"/>
      <c r="H88" s="4"/>
      <c r="J88" s="3" t="s">
        <v>129</v>
      </c>
      <c r="K88" s="14">
        <f t="shared" si="3"/>
        <v>46300</v>
      </c>
      <c r="L88" s="3" t="str">
        <f t="shared" ca="1" si="4"/>
        <v>AL DIA (MENOS 10 DIAS)</v>
      </c>
    </row>
    <row r="89" spans="1:12" x14ac:dyDescent="0.25">
      <c r="A89" s="3" t="str">
        <f t="shared" si="5"/>
        <v>ene</v>
      </c>
      <c r="B89" s="6"/>
      <c r="C89" s="3"/>
      <c r="D89" s="16"/>
      <c r="E89" s="6"/>
      <c r="F89" s="6"/>
      <c r="G89" s="6"/>
      <c r="H89" s="4"/>
      <c r="J89" s="3" t="s">
        <v>48</v>
      </c>
      <c r="K89" s="14">
        <f t="shared" si="3"/>
        <v>46300</v>
      </c>
      <c r="L89" s="3" t="str">
        <f t="shared" ca="1" si="4"/>
        <v>AL DIA (MENOS 10 DIAS)</v>
      </c>
    </row>
    <row r="90" spans="1:12" x14ac:dyDescent="0.25">
      <c r="A90" s="3" t="str">
        <f t="shared" si="5"/>
        <v>ene</v>
      </c>
      <c r="B90" s="6"/>
      <c r="C90" s="3"/>
      <c r="D90" s="16"/>
      <c r="E90" s="6"/>
      <c r="F90" s="6"/>
      <c r="G90" s="6"/>
      <c r="H90" s="4"/>
      <c r="J90" s="3" t="s">
        <v>130</v>
      </c>
      <c r="K90" s="14">
        <f t="shared" si="3"/>
        <v>46300</v>
      </c>
      <c r="L90" s="3" t="str">
        <f t="shared" ca="1" si="4"/>
        <v>AL DIA (MENOS 10 DIAS)</v>
      </c>
    </row>
    <row r="91" spans="1:12" x14ac:dyDescent="0.25">
      <c r="A91" s="3" t="str">
        <f t="shared" si="5"/>
        <v>ene</v>
      </c>
      <c r="B91" s="6"/>
      <c r="C91" s="3"/>
      <c r="D91" s="16"/>
      <c r="E91" s="6"/>
      <c r="F91" s="6"/>
      <c r="G91" s="6"/>
      <c r="H91" s="4"/>
      <c r="J91" s="3" t="s">
        <v>131</v>
      </c>
      <c r="K91" s="14">
        <f t="shared" si="3"/>
        <v>46303</v>
      </c>
      <c r="L91" s="3" t="str">
        <f t="shared" ca="1" si="4"/>
        <v>AL DIA (MENOS 10 DIAS)</v>
      </c>
    </row>
    <row r="92" spans="1:12" x14ac:dyDescent="0.25">
      <c r="A92" s="3" t="str">
        <f t="shared" si="5"/>
        <v>ene</v>
      </c>
      <c r="B92" s="6"/>
      <c r="C92" s="3"/>
      <c r="D92" s="16"/>
      <c r="E92" s="6"/>
      <c r="F92" s="6"/>
      <c r="G92" s="6"/>
      <c r="H92" s="4"/>
      <c r="J92" s="3" t="s">
        <v>49</v>
      </c>
      <c r="K92" s="14" t="str">
        <f t="shared" si="3"/>
        <v/>
      </c>
      <c r="L92" s="3" t="str">
        <f t="shared" ca="1" si="4"/>
        <v>CRITICO(MAS 30 DIAS)</v>
      </c>
    </row>
    <row r="93" spans="1:12" x14ac:dyDescent="0.25">
      <c r="A93" s="3" t="str">
        <f t="shared" si="5"/>
        <v>ene</v>
      </c>
      <c r="B93" s="6"/>
      <c r="C93" s="3"/>
      <c r="D93" s="16"/>
      <c r="E93" s="6"/>
      <c r="F93" s="6"/>
      <c r="G93" s="6"/>
      <c r="H93" s="4"/>
      <c r="J93" s="3" t="s">
        <v>132</v>
      </c>
      <c r="K93" s="14" t="str">
        <f t="shared" si="3"/>
        <v/>
      </c>
      <c r="L93" s="3" t="str">
        <f t="shared" ca="1" si="4"/>
        <v>CRITICO(MAS 30 DIAS)</v>
      </c>
    </row>
    <row r="94" spans="1:12" x14ac:dyDescent="0.25">
      <c r="A94" s="3" t="str">
        <f t="shared" si="5"/>
        <v>ene</v>
      </c>
      <c r="B94" s="6"/>
      <c r="C94" s="3"/>
      <c r="D94" s="16"/>
      <c r="E94" s="6"/>
      <c r="F94" s="6"/>
      <c r="G94" s="6"/>
      <c r="H94" s="4"/>
      <c r="J94" s="3" t="s">
        <v>133</v>
      </c>
      <c r="K94" s="14">
        <f t="shared" si="3"/>
        <v>46300</v>
      </c>
      <c r="L94" s="3" t="str">
        <f t="shared" ca="1" si="4"/>
        <v>AL DIA (MENOS 10 DIAS)</v>
      </c>
    </row>
    <row r="95" spans="1:12" x14ac:dyDescent="0.25">
      <c r="A95" s="3" t="str">
        <f t="shared" si="5"/>
        <v>ene</v>
      </c>
      <c r="B95" s="6"/>
      <c r="C95" s="3"/>
      <c r="D95" s="16"/>
      <c r="E95" s="6"/>
      <c r="F95" s="6"/>
      <c r="G95" s="6"/>
      <c r="H95" s="4"/>
      <c r="J95" s="3" t="s">
        <v>134</v>
      </c>
      <c r="K95" s="14">
        <f t="shared" si="3"/>
        <v>46300</v>
      </c>
      <c r="L95" s="3" t="str">
        <f t="shared" ca="1" si="4"/>
        <v>AL DIA (MENOS 10 DIAS)</v>
      </c>
    </row>
    <row r="96" spans="1:12" x14ac:dyDescent="0.25">
      <c r="A96" s="3" t="str">
        <f t="shared" si="5"/>
        <v>ene</v>
      </c>
      <c r="B96" s="6"/>
      <c r="C96" s="3"/>
      <c r="D96" s="16"/>
      <c r="E96" s="6"/>
      <c r="F96" s="6"/>
      <c r="G96" s="6"/>
      <c r="H96" s="4"/>
      <c r="J96" s="3" t="s">
        <v>50</v>
      </c>
      <c r="K96" s="14">
        <f t="shared" si="3"/>
        <v>46300</v>
      </c>
      <c r="L96" s="3" t="str">
        <f t="shared" ca="1" si="4"/>
        <v>AL DIA (MENOS 10 DIAS)</v>
      </c>
    </row>
    <row r="97" spans="1:12" x14ac:dyDescent="0.25">
      <c r="A97" s="3" t="str">
        <f t="shared" si="5"/>
        <v>ene</v>
      </c>
      <c r="B97" s="6"/>
      <c r="C97" s="3"/>
      <c r="D97" s="16"/>
      <c r="E97" s="6"/>
      <c r="F97" s="6"/>
      <c r="G97" s="6"/>
      <c r="H97" s="4"/>
      <c r="J97" s="3" t="s">
        <v>51</v>
      </c>
      <c r="K97" s="14">
        <f t="shared" si="3"/>
        <v>46310</v>
      </c>
      <c r="L97" s="3" t="str">
        <f t="shared" ca="1" si="4"/>
        <v>AL DIA (MENOS 10 DIAS)</v>
      </c>
    </row>
    <row r="98" spans="1:12" x14ac:dyDescent="0.25">
      <c r="A98" s="3" t="str">
        <f t="shared" si="5"/>
        <v>ene</v>
      </c>
      <c r="B98" s="6"/>
      <c r="C98" s="3"/>
      <c r="D98" s="16"/>
      <c r="E98" s="6"/>
      <c r="F98" s="6"/>
      <c r="G98" s="6"/>
      <c r="H98" s="4"/>
      <c r="J98" s="3" t="s">
        <v>135</v>
      </c>
      <c r="K98" s="14" t="str">
        <f t="shared" si="3"/>
        <v/>
      </c>
      <c r="L98" s="3" t="str">
        <f t="shared" ca="1" si="4"/>
        <v>CRITICO(MAS 30 DIAS)</v>
      </c>
    </row>
    <row r="99" spans="1:12" x14ac:dyDescent="0.25">
      <c r="A99" s="3" t="str">
        <f t="shared" si="5"/>
        <v>ene</v>
      </c>
      <c r="B99" s="6"/>
      <c r="C99" s="3"/>
      <c r="D99" s="16"/>
      <c r="E99" s="6"/>
      <c r="F99" s="6"/>
      <c r="G99" s="6"/>
      <c r="H99" s="4"/>
      <c r="J99" s="3" t="s">
        <v>52</v>
      </c>
      <c r="K99" s="14">
        <f t="shared" si="3"/>
        <v>46300</v>
      </c>
      <c r="L99" s="3" t="str">
        <f t="shared" ca="1" si="4"/>
        <v>AL DIA (MENOS 10 DIAS)</v>
      </c>
    </row>
    <row r="100" spans="1:12" x14ac:dyDescent="0.25">
      <c r="A100" s="3" t="str">
        <f t="shared" si="5"/>
        <v>ene</v>
      </c>
      <c r="B100" s="6"/>
      <c r="C100" s="3"/>
      <c r="D100" s="16"/>
      <c r="E100" s="6"/>
      <c r="F100" s="6"/>
      <c r="G100" s="6"/>
      <c r="H100" s="4"/>
      <c r="J100" s="3" t="s">
        <v>53</v>
      </c>
      <c r="K100" s="14">
        <f t="shared" si="3"/>
        <v>46300</v>
      </c>
      <c r="L100" s="3" t="str">
        <f t="shared" ca="1" si="4"/>
        <v>AL DIA (MENOS 10 DIAS)</v>
      </c>
    </row>
    <row r="101" spans="1:12" x14ac:dyDescent="0.25">
      <c r="A101" s="3" t="str">
        <f t="shared" si="5"/>
        <v>ene</v>
      </c>
      <c r="B101" s="6"/>
      <c r="C101" s="3"/>
      <c r="D101" s="16"/>
      <c r="E101" s="6"/>
      <c r="F101" s="6"/>
      <c r="G101" s="6"/>
      <c r="H101" s="4"/>
      <c r="J101" s="3" t="s">
        <v>136</v>
      </c>
      <c r="K101" s="14" t="str">
        <f t="shared" si="3"/>
        <v/>
      </c>
      <c r="L101" s="3" t="str">
        <f t="shared" ca="1" si="4"/>
        <v>CRITICO(MAS 30 DIAS)</v>
      </c>
    </row>
    <row r="102" spans="1:12" x14ac:dyDescent="0.25">
      <c r="A102" s="3" t="str">
        <f t="shared" si="5"/>
        <v>ene</v>
      </c>
      <c r="B102" s="6"/>
      <c r="C102" s="3"/>
      <c r="D102" s="16"/>
      <c r="E102" s="6"/>
      <c r="F102" s="6"/>
      <c r="G102" s="6"/>
      <c r="H102" s="4"/>
      <c r="J102" s="3" t="s">
        <v>137</v>
      </c>
      <c r="K102" s="14">
        <f t="shared" si="3"/>
        <v>46300</v>
      </c>
      <c r="L102" s="3" t="str">
        <f t="shared" ca="1" si="4"/>
        <v>AL DIA (MENOS 10 DIAS)</v>
      </c>
    </row>
    <row r="103" spans="1:12" x14ac:dyDescent="0.25">
      <c r="A103" s="3" t="str">
        <f t="shared" si="5"/>
        <v>ene</v>
      </c>
      <c r="B103" s="6"/>
      <c r="C103" s="3"/>
      <c r="D103" s="16"/>
      <c r="E103" s="6"/>
      <c r="F103" s="6"/>
      <c r="G103" s="6"/>
      <c r="H103" s="4"/>
      <c r="J103" s="3" t="s">
        <v>138</v>
      </c>
      <c r="K103" s="14" t="str">
        <f t="shared" si="3"/>
        <v/>
      </c>
      <c r="L103" s="3" t="str">
        <f t="shared" ca="1" si="4"/>
        <v>CRITICO(MAS 30 DIAS)</v>
      </c>
    </row>
    <row r="104" spans="1:12" x14ac:dyDescent="0.25">
      <c r="A104" s="3" t="str">
        <f t="shared" si="5"/>
        <v>ene</v>
      </c>
      <c r="B104" s="6"/>
      <c r="C104" s="3"/>
      <c r="D104" s="16"/>
      <c r="E104" s="6"/>
      <c r="F104" s="6"/>
      <c r="G104" s="6"/>
      <c r="H104" s="4"/>
      <c r="J104" s="3" t="s">
        <v>139</v>
      </c>
      <c r="K104" s="14">
        <f t="shared" si="3"/>
        <v>46300</v>
      </c>
      <c r="L104" s="3" t="str">
        <f t="shared" ca="1" si="4"/>
        <v>AL DIA (MENOS 10 DIAS)</v>
      </c>
    </row>
    <row r="105" spans="1:12" x14ac:dyDescent="0.25">
      <c r="A105" s="3" t="str">
        <f t="shared" si="5"/>
        <v>ene</v>
      </c>
      <c r="B105" s="6"/>
      <c r="C105" s="3"/>
      <c r="D105" s="16"/>
      <c r="E105" s="6"/>
      <c r="F105" s="6"/>
      <c r="G105" s="6"/>
      <c r="H105" s="4"/>
      <c r="J105" s="3" t="s">
        <v>140</v>
      </c>
      <c r="K105" s="14">
        <f t="shared" si="3"/>
        <v>46300</v>
      </c>
      <c r="L105" s="3" t="str">
        <f t="shared" ca="1" si="4"/>
        <v>AL DIA (MENOS 10 DIAS)</v>
      </c>
    </row>
    <row r="106" spans="1:12" x14ac:dyDescent="0.25">
      <c r="A106" s="3" t="str">
        <f t="shared" si="5"/>
        <v>ene</v>
      </c>
      <c r="B106" s="6"/>
      <c r="C106" s="3"/>
      <c r="D106" s="16"/>
      <c r="E106" s="6"/>
      <c r="F106" s="6"/>
      <c r="G106" s="6"/>
      <c r="H106" s="4"/>
      <c r="J106" s="3" t="s">
        <v>141</v>
      </c>
      <c r="K106" s="14">
        <f t="shared" si="3"/>
        <v>46300</v>
      </c>
      <c r="L106" s="3" t="str">
        <f t="shared" ca="1" si="4"/>
        <v>AL DIA (MENOS 10 DIAS)</v>
      </c>
    </row>
    <row r="107" spans="1:12" x14ac:dyDescent="0.25">
      <c r="A107" s="3" t="str">
        <f t="shared" si="5"/>
        <v>ene</v>
      </c>
      <c r="B107" s="6"/>
      <c r="C107" s="3"/>
      <c r="D107" s="16"/>
      <c r="E107" s="6"/>
      <c r="F107" s="6"/>
      <c r="G107" s="6"/>
      <c r="H107" s="4"/>
      <c r="J107" s="3" t="s">
        <v>142</v>
      </c>
      <c r="K107" s="14">
        <f t="shared" si="3"/>
        <v>46296</v>
      </c>
      <c r="L107" s="3" t="str">
        <f t="shared" ca="1" si="4"/>
        <v>POR REALIZAR(ALERTA)</v>
      </c>
    </row>
    <row r="108" spans="1:12" x14ac:dyDescent="0.25">
      <c r="A108" s="3" t="str">
        <f t="shared" si="5"/>
        <v>ene</v>
      </c>
      <c r="B108" s="6"/>
      <c r="C108" s="3"/>
      <c r="D108" s="16"/>
      <c r="E108" s="6"/>
      <c r="F108" s="6"/>
      <c r="G108" s="6"/>
      <c r="H108" s="4"/>
      <c r="J108" s="3" t="s">
        <v>143</v>
      </c>
      <c r="K108" s="14">
        <f t="shared" si="3"/>
        <v>46300</v>
      </c>
      <c r="L108" s="3" t="str">
        <f t="shared" ca="1" si="4"/>
        <v>AL DIA (MENOS 10 DIAS)</v>
      </c>
    </row>
    <row r="109" spans="1:12" x14ac:dyDescent="0.25">
      <c r="A109" s="3" t="str">
        <f t="shared" si="5"/>
        <v>ene</v>
      </c>
      <c r="B109" s="6"/>
      <c r="C109" s="3"/>
      <c r="D109" s="16"/>
      <c r="E109" s="6"/>
      <c r="F109" s="6"/>
      <c r="G109" s="6"/>
      <c r="H109" s="4"/>
      <c r="J109" s="3" t="s">
        <v>144</v>
      </c>
      <c r="K109" s="14">
        <f t="shared" si="3"/>
        <v>46301</v>
      </c>
      <c r="L109" s="3" t="str">
        <f t="shared" ca="1" si="4"/>
        <v>AL DIA (MENOS 10 DIAS)</v>
      </c>
    </row>
    <row r="110" spans="1:12" x14ac:dyDescent="0.25">
      <c r="A110" s="3" t="str">
        <f t="shared" si="5"/>
        <v>ene</v>
      </c>
      <c r="B110" s="6"/>
      <c r="C110" s="3"/>
      <c r="D110" s="16"/>
      <c r="E110" s="6"/>
      <c r="F110" s="6"/>
      <c r="G110" s="6"/>
      <c r="H110" s="4"/>
      <c r="J110" s="3" t="s">
        <v>145</v>
      </c>
      <c r="K110" s="14" t="str">
        <f t="shared" si="3"/>
        <v/>
      </c>
      <c r="L110" s="3" t="str">
        <f t="shared" ca="1" si="4"/>
        <v>CRITICO(MAS 30 DIAS)</v>
      </c>
    </row>
    <row r="111" spans="1:12" x14ac:dyDescent="0.25">
      <c r="A111" s="3" t="str">
        <f t="shared" si="5"/>
        <v>ene</v>
      </c>
      <c r="B111" s="6"/>
      <c r="C111" s="3"/>
      <c r="D111" s="16"/>
      <c r="E111" s="6"/>
      <c r="F111" s="6"/>
      <c r="G111" s="6"/>
      <c r="H111" s="4"/>
      <c r="J111" s="3" t="s">
        <v>55</v>
      </c>
      <c r="K111" s="14">
        <f t="shared" si="3"/>
        <v>46305</v>
      </c>
      <c r="L111" s="3" t="str">
        <f t="shared" ca="1" si="4"/>
        <v>AL DIA (MENOS 10 DIAS)</v>
      </c>
    </row>
    <row r="112" spans="1:12" x14ac:dyDescent="0.25">
      <c r="A112" s="3" t="str">
        <f t="shared" si="5"/>
        <v>ene</v>
      </c>
      <c r="B112" s="6"/>
      <c r="C112" s="3"/>
      <c r="D112" s="16"/>
      <c r="E112" s="6"/>
      <c r="F112" s="6"/>
      <c r="G112" s="6"/>
      <c r="H112" s="4"/>
      <c r="J112" s="3" t="s">
        <v>56</v>
      </c>
      <c r="K112" s="14" t="str">
        <f t="shared" si="3"/>
        <v/>
      </c>
      <c r="L112" s="3" t="str">
        <f t="shared" ca="1" si="4"/>
        <v>CRITICO(MAS 30 DIAS)</v>
      </c>
    </row>
    <row r="113" spans="1:12" x14ac:dyDescent="0.25">
      <c r="A113" s="3" t="str">
        <f t="shared" si="5"/>
        <v>ene</v>
      </c>
      <c r="B113" s="6"/>
      <c r="C113" s="3"/>
      <c r="D113" s="16"/>
      <c r="E113" s="6"/>
      <c r="F113" s="6"/>
      <c r="G113" s="6"/>
      <c r="H113" s="4"/>
      <c r="J113" s="3" t="s">
        <v>57</v>
      </c>
      <c r="K113" s="14" t="str">
        <f t="shared" si="3"/>
        <v/>
      </c>
      <c r="L113" s="3" t="str">
        <f t="shared" ca="1" si="4"/>
        <v>CRITICO(MAS 30 DIAS)</v>
      </c>
    </row>
    <row r="114" spans="1:12" x14ac:dyDescent="0.25">
      <c r="A114" s="3" t="str">
        <f t="shared" si="5"/>
        <v>ene</v>
      </c>
      <c r="B114" s="6"/>
      <c r="C114" s="3"/>
      <c r="D114" s="16"/>
      <c r="E114" s="6"/>
      <c r="F114" s="6"/>
      <c r="G114" s="6"/>
      <c r="H114" s="4"/>
      <c r="J114" s="3" t="s">
        <v>146</v>
      </c>
      <c r="K114" s="14" t="str">
        <f t="shared" si="3"/>
        <v/>
      </c>
      <c r="L114" s="3" t="str">
        <f t="shared" ca="1" si="4"/>
        <v>CRITICO(MAS 30 DIAS)</v>
      </c>
    </row>
    <row r="115" spans="1:12" x14ac:dyDescent="0.25">
      <c r="A115" s="3" t="str">
        <f t="shared" si="5"/>
        <v>ene</v>
      </c>
      <c r="B115" s="6"/>
      <c r="C115" s="3"/>
      <c r="D115" s="16"/>
      <c r="E115" s="6"/>
      <c r="F115" s="6"/>
      <c r="G115" s="6"/>
      <c r="H115" s="4"/>
      <c r="J115" s="3" t="s">
        <v>147</v>
      </c>
      <c r="K115" s="14" t="str">
        <f t="shared" si="3"/>
        <v/>
      </c>
      <c r="L115" s="3" t="str">
        <f t="shared" ca="1" si="4"/>
        <v>CRITICO(MAS 30 DIAS)</v>
      </c>
    </row>
    <row r="116" spans="1:12" x14ac:dyDescent="0.25">
      <c r="A116" s="3" t="str">
        <f t="shared" si="5"/>
        <v>ene</v>
      </c>
      <c r="B116" s="6"/>
      <c r="C116" s="3"/>
      <c r="D116" s="16"/>
      <c r="E116" s="6"/>
      <c r="F116" s="6"/>
      <c r="G116" s="6"/>
      <c r="H116" s="4"/>
      <c r="J116" s="3" t="s">
        <v>148</v>
      </c>
      <c r="K116" s="14" t="str">
        <f t="shared" si="3"/>
        <v/>
      </c>
      <c r="L116" s="3" t="str">
        <f t="shared" ca="1" si="4"/>
        <v>CRITICO(MAS 30 DIAS)</v>
      </c>
    </row>
    <row r="117" spans="1:12" x14ac:dyDescent="0.25">
      <c r="A117" s="3" t="str">
        <f t="shared" si="5"/>
        <v>ene</v>
      </c>
      <c r="B117" s="6"/>
      <c r="C117" s="3"/>
      <c r="D117" s="16"/>
      <c r="E117" s="6"/>
      <c r="F117" s="6"/>
      <c r="G117" s="6"/>
      <c r="H117" s="4"/>
      <c r="J117" s="3" t="s">
        <v>149</v>
      </c>
      <c r="K117" s="14" t="str">
        <f t="shared" si="3"/>
        <v/>
      </c>
      <c r="L117" s="3" t="str">
        <f t="shared" ca="1" si="4"/>
        <v>CRITICO(MAS 30 DIAS)</v>
      </c>
    </row>
    <row r="118" spans="1:12" x14ac:dyDescent="0.25">
      <c r="A118" s="3" t="str">
        <f t="shared" si="5"/>
        <v>ene</v>
      </c>
      <c r="B118" s="6"/>
      <c r="C118" s="3"/>
      <c r="D118" s="16"/>
      <c r="E118" s="6"/>
      <c r="F118" s="6"/>
      <c r="G118" s="6"/>
      <c r="H118" s="4"/>
      <c r="J118" s="3" t="s">
        <v>150</v>
      </c>
      <c r="K118" s="14">
        <f t="shared" si="3"/>
        <v>46308</v>
      </c>
      <c r="L118" s="3" t="str">
        <f t="shared" ca="1" si="4"/>
        <v>AL DIA (MENOS 10 DIAS)</v>
      </c>
    </row>
    <row r="119" spans="1:12" x14ac:dyDescent="0.25">
      <c r="A119" s="3" t="str">
        <f t="shared" si="5"/>
        <v>ene</v>
      </c>
      <c r="B119" s="6"/>
      <c r="C119" s="3"/>
      <c r="D119" s="16"/>
      <c r="E119" s="6"/>
      <c r="F119" s="6"/>
      <c r="G119" s="6"/>
      <c r="H119" s="4"/>
      <c r="J119" s="3" t="s">
        <v>151</v>
      </c>
      <c r="K119" s="14" t="str">
        <f t="shared" si="3"/>
        <v/>
      </c>
      <c r="L119" s="3" t="str">
        <f t="shared" ca="1" si="4"/>
        <v>CRITICO(MAS 30 DIAS)</v>
      </c>
    </row>
    <row r="120" spans="1:12" x14ac:dyDescent="0.25">
      <c r="A120" s="3" t="str">
        <f t="shared" si="5"/>
        <v>ene</v>
      </c>
      <c r="B120" s="6"/>
      <c r="C120" s="3"/>
      <c r="D120" s="16"/>
      <c r="E120" s="6"/>
      <c r="F120" s="6"/>
      <c r="G120" s="6"/>
      <c r="H120" s="4"/>
      <c r="J120" s="3" t="s">
        <v>152</v>
      </c>
      <c r="K120" s="14" t="str">
        <f t="shared" si="3"/>
        <v/>
      </c>
      <c r="L120" s="3" t="str">
        <f t="shared" ca="1" si="4"/>
        <v>CRITICO(MAS 30 DIAS)</v>
      </c>
    </row>
    <row r="121" spans="1:12" x14ac:dyDescent="0.25">
      <c r="A121" s="3" t="str">
        <f t="shared" si="5"/>
        <v>ene</v>
      </c>
      <c r="B121" s="6"/>
      <c r="C121" s="3"/>
      <c r="D121" s="16"/>
      <c r="E121" s="6"/>
      <c r="F121" s="6"/>
      <c r="G121" s="6"/>
      <c r="H121" s="4"/>
      <c r="J121" s="3" t="s">
        <v>58</v>
      </c>
      <c r="K121" s="14" t="str">
        <f t="shared" si="3"/>
        <v/>
      </c>
      <c r="L121" s="3" t="str">
        <f t="shared" ca="1" si="4"/>
        <v>CRITICO(MAS 30 DIAS)</v>
      </c>
    </row>
    <row r="122" spans="1:12" x14ac:dyDescent="0.25">
      <c r="A122" s="3" t="str">
        <f t="shared" si="5"/>
        <v>ene</v>
      </c>
      <c r="B122" s="6"/>
      <c r="C122" s="3"/>
      <c r="D122" s="16"/>
      <c r="E122" s="6"/>
      <c r="F122" s="6"/>
      <c r="G122" s="6"/>
      <c r="H122" s="4"/>
      <c r="J122" s="3" t="s">
        <v>153</v>
      </c>
      <c r="K122" s="14" t="str">
        <f t="shared" si="3"/>
        <v/>
      </c>
      <c r="L122" s="3" t="str">
        <f t="shared" ca="1" si="4"/>
        <v>CRITICO(MAS 30 DIAS)</v>
      </c>
    </row>
    <row r="123" spans="1:12" x14ac:dyDescent="0.25">
      <c r="A123" s="3" t="str">
        <f t="shared" si="5"/>
        <v>ene</v>
      </c>
      <c r="B123" s="6"/>
      <c r="C123" s="3"/>
      <c r="D123" s="16"/>
      <c r="E123" s="6"/>
      <c r="F123" s="6"/>
      <c r="G123" s="6"/>
      <c r="H123" s="4"/>
      <c r="J123" s="3" t="s">
        <v>13</v>
      </c>
      <c r="K123" s="14">
        <f t="shared" si="3"/>
        <v>46300</v>
      </c>
      <c r="L123" s="3" t="str">
        <f t="shared" ca="1" si="4"/>
        <v>AL DIA (MENOS 10 DIAS)</v>
      </c>
    </row>
    <row r="124" spans="1:12" x14ac:dyDescent="0.25">
      <c r="A124" s="3" t="str">
        <f t="shared" si="5"/>
        <v>ene</v>
      </c>
      <c r="B124" s="6"/>
      <c r="C124" s="3"/>
      <c r="D124" s="16"/>
      <c r="E124" s="6"/>
      <c r="F124" s="6"/>
      <c r="G124" s="6"/>
      <c r="H124" s="4"/>
      <c r="J124" s="3" t="s">
        <v>14</v>
      </c>
      <c r="K124" s="14">
        <f t="shared" si="3"/>
        <v>46300</v>
      </c>
      <c r="L124" s="3" t="str">
        <f t="shared" ca="1" si="4"/>
        <v>AL DIA (MENOS 10 DIAS)</v>
      </c>
    </row>
    <row r="125" spans="1:12" x14ac:dyDescent="0.25">
      <c r="A125" s="3" t="str">
        <f t="shared" si="5"/>
        <v>ene</v>
      </c>
      <c r="B125" s="6"/>
      <c r="C125" s="3"/>
      <c r="D125" s="16"/>
      <c r="E125" s="6"/>
      <c r="F125" s="6"/>
      <c r="G125" s="6"/>
      <c r="H125" s="4"/>
      <c r="J125" s="3" t="s">
        <v>154</v>
      </c>
      <c r="K125" s="14">
        <f t="shared" si="3"/>
        <v>46300</v>
      </c>
      <c r="L125" s="3" t="str">
        <f t="shared" ca="1" si="4"/>
        <v>AL DIA (MENOS 10 DIAS)</v>
      </c>
    </row>
    <row r="126" spans="1:12" x14ac:dyDescent="0.25">
      <c r="A126" s="3" t="str">
        <f t="shared" si="5"/>
        <v>ene</v>
      </c>
      <c r="B126" s="6"/>
      <c r="C126" s="3"/>
      <c r="D126" s="16"/>
      <c r="E126" s="6"/>
      <c r="F126" s="6"/>
      <c r="G126" s="6"/>
      <c r="H126" s="4"/>
      <c r="J126" s="3" t="s">
        <v>155</v>
      </c>
      <c r="K126" s="14">
        <f t="shared" si="3"/>
        <v>46300</v>
      </c>
      <c r="L126" s="3" t="str">
        <f t="shared" ca="1" si="4"/>
        <v>AL DIA (MENOS 10 DIAS)</v>
      </c>
    </row>
    <row r="127" spans="1:12" x14ac:dyDescent="0.25">
      <c r="A127" s="3" t="str">
        <f t="shared" si="5"/>
        <v>ene</v>
      </c>
      <c r="B127" s="6"/>
      <c r="C127" s="3"/>
      <c r="D127" s="16"/>
      <c r="E127" s="6"/>
      <c r="F127" s="6"/>
      <c r="G127" s="6"/>
      <c r="H127" s="4"/>
      <c r="J127" s="3" t="s">
        <v>60</v>
      </c>
      <c r="K127" s="14" t="str">
        <f t="shared" si="3"/>
        <v/>
      </c>
      <c r="L127" s="3" t="str">
        <f t="shared" ca="1" si="4"/>
        <v>CRITICO(MAS 30 DIAS)</v>
      </c>
    </row>
    <row r="128" spans="1:12" x14ac:dyDescent="0.25">
      <c r="A128" s="3" t="str">
        <f t="shared" si="5"/>
        <v>ene</v>
      </c>
      <c r="B128" s="6"/>
      <c r="C128" s="3"/>
      <c r="D128" s="16"/>
      <c r="E128" s="6"/>
      <c r="F128" s="6"/>
      <c r="G128" s="6"/>
      <c r="H128" s="4"/>
      <c r="J128" s="3" t="s">
        <v>156</v>
      </c>
      <c r="K128" s="14" t="str">
        <f t="shared" si="3"/>
        <v/>
      </c>
      <c r="L128" s="3" t="str">
        <f t="shared" ca="1" si="4"/>
        <v>CRITICO(MAS 30 DIAS)</v>
      </c>
    </row>
    <row r="129" spans="1:12" x14ac:dyDescent="0.25">
      <c r="A129" s="3" t="str">
        <f t="shared" si="5"/>
        <v>ene</v>
      </c>
      <c r="B129" s="6"/>
      <c r="C129" s="3"/>
      <c r="D129" s="16"/>
      <c r="E129" s="6"/>
      <c r="F129" s="6"/>
      <c r="G129" s="6"/>
      <c r="H129" s="4"/>
      <c r="J129" s="3" t="s">
        <v>157</v>
      </c>
      <c r="K129" s="14">
        <f t="shared" si="3"/>
        <v>46311</v>
      </c>
      <c r="L129" s="3" t="str">
        <f t="shared" ca="1" si="4"/>
        <v>AL DIA (MENOS 10 DIAS)</v>
      </c>
    </row>
    <row r="130" spans="1:12" x14ac:dyDescent="0.25">
      <c r="A130" s="3" t="str">
        <f t="shared" si="5"/>
        <v>ene</v>
      </c>
      <c r="B130" s="6"/>
      <c r="C130" s="3"/>
      <c r="D130" s="16"/>
      <c r="E130" s="6"/>
      <c r="F130" s="6"/>
      <c r="G130" s="6"/>
      <c r="H130" s="4"/>
      <c r="J130" s="3" t="s">
        <v>158</v>
      </c>
      <c r="K130" s="14">
        <f t="shared" si="3"/>
        <v>46300</v>
      </c>
      <c r="L130" s="3" t="str">
        <f t="shared" ca="1" si="4"/>
        <v>AL DIA (MENOS 10 DIAS)</v>
      </c>
    </row>
    <row r="131" spans="1:12" x14ac:dyDescent="0.25">
      <c r="A131" s="3" t="str">
        <f t="shared" si="5"/>
        <v>ene</v>
      </c>
      <c r="B131" s="6"/>
      <c r="C131" s="3"/>
      <c r="D131" s="16"/>
      <c r="E131" s="6"/>
      <c r="F131" s="6"/>
      <c r="G131" s="6"/>
      <c r="H131" s="4"/>
      <c r="J131" s="3" t="s">
        <v>159</v>
      </c>
      <c r="K131" s="14" t="str">
        <f t="shared" si="3"/>
        <v/>
      </c>
      <c r="L131" s="3" t="str">
        <f t="shared" ca="1" si="4"/>
        <v>CRITICO(MAS 30 DIAS)</v>
      </c>
    </row>
    <row r="132" spans="1:12" x14ac:dyDescent="0.25">
      <c r="A132" s="3" t="str">
        <f t="shared" si="5"/>
        <v>ene</v>
      </c>
      <c r="B132" s="6"/>
      <c r="C132" s="3"/>
      <c r="D132" s="16"/>
      <c r="E132" s="6"/>
      <c r="F132" s="6"/>
      <c r="G132" s="6"/>
      <c r="H132" s="4"/>
      <c r="J132" s="3" t="s">
        <v>160</v>
      </c>
      <c r="K132" s="14" t="str">
        <f t="shared" ref="K132:K157" si="6">IFERROR(LOOKUP(2,1/($B$3:$B$1001=J132),$D$3:$D$1001),"")</f>
        <v/>
      </c>
      <c r="L132" s="3" t="str">
        <f t="shared" ref="L132:L157" ca="1" si="7">IF(OR(K132="",K132=0),"CRITICO(MAS 30 DIAS)",IF(TODAY()-K132&gt;=30,"CRITICO(MAS 30 DIAS)",IF(TODAY()-K132&gt;=15,"POR REALIZAR(ALERTA)","AL DIA (MENOS 10 DIAS)")))</f>
        <v>CRITICO(MAS 30 DIAS)</v>
      </c>
    </row>
    <row r="133" spans="1:12" x14ac:dyDescent="0.25">
      <c r="A133" s="3" t="str">
        <f t="shared" si="5"/>
        <v>ene</v>
      </c>
      <c r="B133" s="6"/>
      <c r="C133" s="3"/>
      <c r="D133" s="16"/>
      <c r="E133" s="6"/>
      <c r="F133" s="6"/>
      <c r="G133" s="6"/>
      <c r="H133" s="4"/>
      <c r="J133" s="3" t="s">
        <v>161</v>
      </c>
      <c r="K133" s="14" t="str">
        <f t="shared" si="6"/>
        <v/>
      </c>
      <c r="L133" s="3" t="str">
        <f t="shared" ca="1" si="7"/>
        <v>CRITICO(MAS 30 DIAS)</v>
      </c>
    </row>
    <row r="134" spans="1:12" x14ac:dyDescent="0.25">
      <c r="A134" s="3" t="str">
        <f t="shared" ref="A134:A197" si="8">TEXT($D134,"mmm")</f>
        <v>ene</v>
      </c>
      <c r="B134" s="6"/>
      <c r="C134" s="3"/>
      <c r="D134" s="16"/>
      <c r="E134" s="6"/>
      <c r="F134" s="6"/>
      <c r="G134" s="6"/>
      <c r="H134" s="4"/>
      <c r="J134" s="3" t="s">
        <v>162</v>
      </c>
      <c r="K134" s="14" t="str">
        <f t="shared" si="6"/>
        <v/>
      </c>
      <c r="L134" s="3" t="str">
        <f t="shared" ca="1" si="7"/>
        <v>CRITICO(MAS 30 DIAS)</v>
      </c>
    </row>
    <row r="135" spans="1:12" x14ac:dyDescent="0.25">
      <c r="A135" s="3" t="str">
        <f t="shared" si="8"/>
        <v>ene</v>
      </c>
      <c r="B135" s="6"/>
      <c r="C135" s="3"/>
      <c r="D135" s="16"/>
      <c r="E135" s="6"/>
      <c r="F135" s="6"/>
      <c r="G135" s="6"/>
      <c r="H135" s="4"/>
      <c r="J135" s="3" t="s">
        <v>163</v>
      </c>
      <c r="K135" s="14" t="str">
        <f t="shared" si="6"/>
        <v/>
      </c>
      <c r="L135" s="3" t="str">
        <f t="shared" ca="1" si="7"/>
        <v>CRITICO(MAS 30 DIAS)</v>
      </c>
    </row>
    <row r="136" spans="1:12" x14ac:dyDescent="0.25">
      <c r="A136" s="3" t="str">
        <f t="shared" si="8"/>
        <v>ene</v>
      </c>
      <c r="B136" s="6"/>
      <c r="C136" s="3"/>
      <c r="D136" s="16"/>
      <c r="E136" s="6"/>
      <c r="F136" s="6"/>
      <c r="G136" s="6"/>
      <c r="H136" s="4"/>
      <c r="J136" s="3" t="s">
        <v>164</v>
      </c>
      <c r="K136" s="14">
        <f t="shared" si="6"/>
        <v>46309</v>
      </c>
      <c r="L136" s="3" t="str">
        <f t="shared" ca="1" si="7"/>
        <v>AL DIA (MENOS 10 DIAS)</v>
      </c>
    </row>
    <row r="137" spans="1:12" x14ac:dyDescent="0.25">
      <c r="A137" s="3" t="str">
        <f t="shared" si="8"/>
        <v>ene</v>
      </c>
      <c r="B137" s="6"/>
      <c r="C137" s="3"/>
      <c r="D137" s="16"/>
      <c r="E137" s="6"/>
      <c r="F137" s="6"/>
      <c r="G137" s="6"/>
      <c r="H137" s="4"/>
      <c r="J137" s="3" t="s">
        <v>62</v>
      </c>
      <c r="K137" s="14">
        <f t="shared" si="6"/>
        <v>46303</v>
      </c>
      <c r="L137" s="3" t="str">
        <f t="shared" ca="1" si="7"/>
        <v>AL DIA (MENOS 10 DIAS)</v>
      </c>
    </row>
    <row r="138" spans="1:12" x14ac:dyDescent="0.25">
      <c r="A138" s="3" t="str">
        <f t="shared" si="8"/>
        <v>ene</v>
      </c>
      <c r="B138" s="6"/>
      <c r="C138" s="3"/>
      <c r="D138" s="16"/>
      <c r="E138" s="6"/>
      <c r="F138" s="6"/>
      <c r="G138" s="6"/>
      <c r="H138" s="4"/>
      <c r="J138" s="3" t="s">
        <v>165</v>
      </c>
      <c r="K138" s="14" t="str">
        <f t="shared" si="6"/>
        <v/>
      </c>
      <c r="L138" s="3" t="str">
        <f t="shared" ca="1" si="7"/>
        <v>CRITICO(MAS 30 DIAS)</v>
      </c>
    </row>
    <row r="139" spans="1:12" x14ac:dyDescent="0.25">
      <c r="A139" s="3" t="str">
        <f t="shared" si="8"/>
        <v>ene</v>
      </c>
      <c r="B139" s="6"/>
      <c r="C139" s="3"/>
      <c r="D139" s="16"/>
      <c r="E139" s="6"/>
      <c r="F139" s="6"/>
      <c r="G139" s="6"/>
      <c r="H139" s="4"/>
      <c r="J139" s="3" t="s">
        <v>166</v>
      </c>
      <c r="K139" s="14" t="str">
        <f t="shared" si="6"/>
        <v/>
      </c>
      <c r="L139" s="3" t="str">
        <f t="shared" ca="1" si="7"/>
        <v>CRITICO(MAS 30 DIAS)</v>
      </c>
    </row>
    <row r="140" spans="1:12" x14ac:dyDescent="0.25">
      <c r="A140" s="3" t="str">
        <f t="shared" si="8"/>
        <v>ene</v>
      </c>
      <c r="B140" s="6"/>
      <c r="C140" s="3"/>
      <c r="D140" s="16"/>
      <c r="E140" s="6"/>
      <c r="F140" s="6"/>
      <c r="G140" s="6"/>
      <c r="H140" s="4"/>
      <c r="J140" s="3" t="s">
        <v>167</v>
      </c>
      <c r="K140" s="14" t="str">
        <f t="shared" si="6"/>
        <v/>
      </c>
      <c r="L140" s="3" t="str">
        <f t="shared" ca="1" si="7"/>
        <v>CRITICO(MAS 30 DIAS)</v>
      </c>
    </row>
    <row r="141" spans="1:12" x14ac:dyDescent="0.25">
      <c r="A141" s="3" t="str">
        <f t="shared" si="8"/>
        <v>ene</v>
      </c>
      <c r="B141" s="6"/>
      <c r="C141" s="3"/>
      <c r="D141" s="16"/>
      <c r="E141" s="6"/>
      <c r="F141" s="6"/>
      <c r="G141" s="6"/>
      <c r="H141" s="4"/>
      <c r="J141" s="3" t="s">
        <v>168</v>
      </c>
      <c r="K141" s="14">
        <f t="shared" si="6"/>
        <v>46300</v>
      </c>
      <c r="L141" s="3" t="str">
        <f t="shared" ca="1" si="7"/>
        <v>AL DIA (MENOS 10 DIAS)</v>
      </c>
    </row>
    <row r="142" spans="1:12" x14ac:dyDescent="0.25">
      <c r="A142" s="3" t="str">
        <f t="shared" si="8"/>
        <v>ene</v>
      </c>
      <c r="B142" s="6"/>
      <c r="C142" s="3"/>
      <c r="D142" s="16"/>
      <c r="E142" s="6"/>
      <c r="F142" s="6"/>
      <c r="G142" s="6"/>
      <c r="H142" s="4"/>
      <c r="J142" s="3" t="s">
        <v>169</v>
      </c>
      <c r="K142" s="14" t="str">
        <f t="shared" si="6"/>
        <v/>
      </c>
      <c r="L142" s="3" t="str">
        <f t="shared" ca="1" si="7"/>
        <v>CRITICO(MAS 30 DIAS)</v>
      </c>
    </row>
    <row r="143" spans="1:12" x14ac:dyDescent="0.25">
      <c r="A143" s="3" t="str">
        <f t="shared" si="8"/>
        <v>ene</v>
      </c>
      <c r="B143" s="6"/>
      <c r="C143" s="3"/>
      <c r="D143" s="16"/>
      <c r="E143" s="6"/>
      <c r="F143" s="6"/>
      <c r="G143" s="6"/>
      <c r="H143" s="4"/>
      <c r="J143" s="3" t="s">
        <v>170</v>
      </c>
      <c r="K143" s="14" t="str">
        <f t="shared" si="6"/>
        <v/>
      </c>
      <c r="L143" s="3" t="str">
        <f t="shared" ca="1" si="7"/>
        <v>CRITICO(MAS 30 DIAS)</v>
      </c>
    </row>
    <row r="144" spans="1:12" x14ac:dyDescent="0.25">
      <c r="A144" s="3" t="str">
        <f t="shared" si="8"/>
        <v>ene</v>
      </c>
      <c r="B144" s="6"/>
      <c r="C144" s="3"/>
      <c r="D144" s="16"/>
      <c r="E144" s="6"/>
      <c r="F144" s="6"/>
      <c r="G144" s="6"/>
      <c r="H144" s="4"/>
      <c r="J144" s="3" t="s">
        <v>171</v>
      </c>
      <c r="K144" s="14" t="str">
        <f t="shared" si="6"/>
        <v/>
      </c>
      <c r="L144" s="3" t="str">
        <f t="shared" ca="1" si="7"/>
        <v>CRITICO(MAS 30 DIAS)</v>
      </c>
    </row>
    <row r="145" spans="1:12" x14ac:dyDescent="0.25">
      <c r="A145" s="3" t="str">
        <f t="shared" si="8"/>
        <v>ene</v>
      </c>
      <c r="B145" s="6"/>
      <c r="C145" s="3"/>
      <c r="D145" s="16"/>
      <c r="E145" s="6"/>
      <c r="F145" s="6"/>
      <c r="G145" s="6"/>
      <c r="H145" s="4"/>
      <c r="J145" s="3" t="s">
        <v>172</v>
      </c>
      <c r="K145" s="14" t="str">
        <f t="shared" si="6"/>
        <v/>
      </c>
      <c r="L145" s="3" t="str">
        <f t="shared" ca="1" si="7"/>
        <v>CRITICO(MAS 30 DIAS)</v>
      </c>
    </row>
    <row r="146" spans="1:12" x14ac:dyDescent="0.25">
      <c r="A146" s="3" t="str">
        <f t="shared" si="8"/>
        <v>ene</v>
      </c>
      <c r="B146" s="6"/>
      <c r="C146" s="3"/>
      <c r="D146" s="16"/>
      <c r="E146" s="6"/>
      <c r="F146" s="6"/>
      <c r="G146" s="6"/>
      <c r="H146" s="4"/>
      <c r="J146" s="3" t="s">
        <v>173</v>
      </c>
      <c r="K146" s="14" t="str">
        <f t="shared" si="6"/>
        <v/>
      </c>
      <c r="L146" s="3" t="str">
        <f t="shared" ca="1" si="7"/>
        <v>CRITICO(MAS 30 DIAS)</v>
      </c>
    </row>
    <row r="147" spans="1:12" x14ac:dyDescent="0.25">
      <c r="A147" s="3" t="str">
        <f t="shared" si="8"/>
        <v>ene</v>
      </c>
      <c r="B147" s="6"/>
      <c r="C147" s="3"/>
      <c r="D147" s="16"/>
      <c r="E147" s="6"/>
      <c r="F147" s="6"/>
      <c r="G147" s="6"/>
      <c r="H147" s="4"/>
      <c r="J147" s="3" t="s">
        <v>174</v>
      </c>
      <c r="K147" s="14" t="str">
        <f t="shared" si="6"/>
        <v/>
      </c>
      <c r="L147" s="3" t="str">
        <f t="shared" ca="1" si="7"/>
        <v>CRITICO(MAS 30 DIAS)</v>
      </c>
    </row>
    <row r="148" spans="1:12" x14ac:dyDescent="0.25">
      <c r="A148" s="3" t="str">
        <f t="shared" si="8"/>
        <v>ene</v>
      </c>
      <c r="B148" s="6"/>
      <c r="C148" s="3"/>
      <c r="D148" s="16"/>
      <c r="E148" s="6"/>
      <c r="F148" s="6"/>
      <c r="G148" s="6"/>
      <c r="H148" s="4"/>
      <c r="J148" s="3" t="s">
        <v>175</v>
      </c>
      <c r="K148" s="14">
        <f t="shared" si="6"/>
        <v>46311</v>
      </c>
      <c r="L148" s="3" t="str">
        <f t="shared" ca="1" si="7"/>
        <v>AL DIA (MENOS 10 DIAS)</v>
      </c>
    </row>
    <row r="149" spans="1:12" x14ac:dyDescent="0.25">
      <c r="A149" s="3" t="str">
        <f t="shared" si="8"/>
        <v>ene</v>
      </c>
      <c r="B149" s="6"/>
      <c r="C149" s="3"/>
      <c r="D149" s="16"/>
      <c r="E149" s="6"/>
      <c r="F149" s="6"/>
      <c r="G149" s="6"/>
      <c r="H149" s="4"/>
      <c r="J149" s="3" t="s">
        <v>176</v>
      </c>
      <c r="K149" s="14">
        <f t="shared" si="6"/>
        <v>46310</v>
      </c>
      <c r="L149" s="3" t="str">
        <f t="shared" ca="1" si="7"/>
        <v>AL DIA (MENOS 10 DIAS)</v>
      </c>
    </row>
    <row r="150" spans="1:12" x14ac:dyDescent="0.25">
      <c r="A150" s="3" t="str">
        <f t="shared" si="8"/>
        <v>ene</v>
      </c>
      <c r="B150" s="6"/>
      <c r="C150" s="3"/>
      <c r="D150" s="16"/>
      <c r="E150" s="6"/>
      <c r="F150" s="6"/>
      <c r="G150" s="6"/>
      <c r="H150" s="4"/>
      <c r="J150" s="3" t="s">
        <v>177</v>
      </c>
      <c r="K150" s="14">
        <f t="shared" si="6"/>
        <v>46300</v>
      </c>
      <c r="L150" s="3" t="str">
        <f t="shared" ca="1" si="7"/>
        <v>AL DIA (MENOS 10 DIAS)</v>
      </c>
    </row>
    <row r="151" spans="1:12" x14ac:dyDescent="0.25">
      <c r="A151" s="3" t="str">
        <f t="shared" si="8"/>
        <v>ene</v>
      </c>
      <c r="B151" s="6"/>
      <c r="C151" s="3"/>
      <c r="D151" s="16"/>
      <c r="E151" s="6"/>
      <c r="F151" s="6"/>
      <c r="G151" s="6"/>
      <c r="H151" s="4"/>
      <c r="J151" s="3" t="s">
        <v>178</v>
      </c>
      <c r="K151" s="14">
        <f t="shared" si="6"/>
        <v>46300</v>
      </c>
      <c r="L151" s="3" t="str">
        <f t="shared" ca="1" si="7"/>
        <v>AL DIA (MENOS 10 DIAS)</v>
      </c>
    </row>
    <row r="152" spans="1:12" x14ac:dyDescent="0.25">
      <c r="A152" s="3" t="str">
        <f t="shared" si="8"/>
        <v>ene</v>
      </c>
      <c r="B152" s="6"/>
      <c r="C152" s="7"/>
      <c r="D152" s="16"/>
      <c r="E152" s="6"/>
      <c r="F152" s="6"/>
      <c r="G152" s="6"/>
      <c r="H152" s="4"/>
      <c r="J152" s="3" t="s">
        <v>179</v>
      </c>
      <c r="K152" s="14" t="str">
        <f t="shared" si="6"/>
        <v/>
      </c>
      <c r="L152" s="3" t="str">
        <f t="shared" ca="1" si="7"/>
        <v>CRITICO(MAS 30 DIAS)</v>
      </c>
    </row>
    <row r="153" spans="1:12" x14ac:dyDescent="0.25">
      <c r="A153" s="3" t="str">
        <f t="shared" si="8"/>
        <v>ene</v>
      </c>
      <c r="B153" s="6"/>
      <c r="C153" s="7"/>
      <c r="D153" s="16"/>
      <c r="E153" s="6"/>
      <c r="F153" s="6"/>
      <c r="G153" s="6"/>
      <c r="H153" s="4"/>
      <c r="J153" s="3" t="s">
        <v>180</v>
      </c>
      <c r="K153" s="14" t="str">
        <f t="shared" si="6"/>
        <v/>
      </c>
      <c r="L153" s="3" t="str">
        <f t="shared" ca="1" si="7"/>
        <v>CRITICO(MAS 30 DIAS)</v>
      </c>
    </row>
    <row r="154" spans="1:12" x14ac:dyDescent="0.25">
      <c r="A154" s="3" t="str">
        <f t="shared" si="8"/>
        <v>ene</v>
      </c>
      <c r="B154" s="6"/>
      <c r="C154" s="7"/>
      <c r="D154" s="16"/>
      <c r="E154" s="6"/>
      <c r="F154" s="6"/>
      <c r="G154" s="6"/>
      <c r="H154" s="4"/>
      <c r="J154" s="3" t="s">
        <v>181</v>
      </c>
      <c r="K154" s="14" t="str">
        <f t="shared" si="6"/>
        <v/>
      </c>
      <c r="L154" s="3" t="str">
        <f t="shared" ca="1" si="7"/>
        <v>CRITICO(MAS 30 DIAS)</v>
      </c>
    </row>
    <row r="155" spans="1:12" x14ac:dyDescent="0.25">
      <c r="A155" s="3" t="str">
        <f t="shared" si="8"/>
        <v>ene</v>
      </c>
      <c r="B155" s="6"/>
      <c r="C155" s="7"/>
      <c r="D155" s="16"/>
      <c r="E155" s="6"/>
      <c r="F155" s="6"/>
      <c r="G155" s="6"/>
      <c r="H155" s="4"/>
      <c r="J155" s="3" t="s">
        <v>182</v>
      </c>
      <c r="K155" s="14" t="str">
        <f t="shared" si="6"/>
        <v/>
      </c>
      <c r="L155" s="3" t="str">
        <f t="shared" ca="1" si="7"/>
        <v>CRITICO(MAS 30 DIAS)</v>
      </c>
    </row>
    <row r="156" spans="1:12" x14ac:dyDescent="0.25">
      <c r="A156" s="3" t="str">
        <f t="shared" si="8"/>
        <v>ene</v>
      </c>
      <c r="B156" s="6"/>
      <c r="C156" s="7"/>
      <c r="D156" s="16"/>
      <c r="E156" s="6"/>
      <c r="F156" s="6"/>
      <c r="G156" s="6"/>
      <c r="H156" s="4"/>
      <c r="J156" s="3" t="s">
        <v>183</v>
      </c>
      <c r="K156" s="14">
        <f t="shared" si="6"/>
        <v>46301</v>
      </c>
      <c r="L156" s="3" t="str">
        <f t="shared" ca="1" si="7"/>
        <v>AL DIA (MENOS 10 DIAS)</v>
      </c>
    </row>
    <row r="157" spans="1:12" x14ac:dyDescent="0.25">
      <c r="A157" s="3" t="str">
        <f t="shared" si="8"/>
        <v>ene</v>
      </c>
      <c r="B157" s="6"/>
      <c r="C157" s="7"/>
      <c r="D157" s="16"/>
      <c r="E157" s="6"/>
      <c r="F157" s="6"/>
      <c r="G157" s="6"/>
      <c r="H157" s="4"/>
      <c r="J157" s="3" t="s">
        <v>184</v>
      </c>
      <c r="K157" s="14">
        <f t="shared" si="6"/>
        <v>46301</v>
      </c>
      <c r="L157" s="3" t="str">
        <f t="shared" ca="1" si="7"/>
        <v>AL DIA (MENOS 10 DIAS)</v>
      </c>
    </row>
    <row r="158" spans="1:12" x14ac:dyDescent="0.25">
      <c r="A158" s="3" t="str">
        <f t="shared" si="8"/>
        <v>ene</v>
      </c>
      <c r="C158" s="7"/>
    </row>
    <row r="159" spans="1:12" x14ac:dyDescent="0.25">
      <c r="A159" s="3" t="str">
        <f t="shared" si="8"/>
        <v>ene</v>
      </c>
      <c r="C159" s="7"/>
    </row>
    <row r="160" spans="1:12" x14ac:dyDescent="0.25">
      <c r="A160" s="3" t="str">
        <f t="shared" si="8"/>
        <v>ene</v>
      </c>
      <c r="C160" s="7"/>
    </row>
    <row r="161" spans="1:3" x14ac:dyDescent="0.25">
      <c r="A161" s="3" t="str">
        <f t="shared" si="8"/>
        <v>ene</v>
      </c>
      <c r="C161" s="7"/>
    </row>
    <row r="162" spans="1:3" x14ac:dyDescent="0.25">
      <c r="A162" s="3" t="str">
        <f t="shared" si="8"/>
        <v>ene</v>
      </c>
      <c r="C162" s="7"/>
    </row>
    <row r="163" spans="1:3" x14ac:dyDescent="0.25">
      <c r="A163" s="3" t="str">
        <f t="shared" si="8"/>
        <v>ene</v>
      </c>
      <c r="C163" s="7"/>
    </row>
    <row r="164" spans="1:3" x14ac:dyDescent="0.25">
      <c r="A164" s="3" t="str">
        <f t="shared" si="8"/>
        <v>ene</v>
      </c>
      <c r="C164" s="7"/>
    </row>
    <row r="165" spans="1:3" x14ac:dyDescent="0.25">
      <c r="A165" s="3" t="str">
        <f t="shared" si="8"/>
        <v>ene</v>
      </c>
      <c r="C165" s="7"/>
    </row>
    <row r="166" spans="1:3" x14ac:dyDescent="0.25">
      <c r="A166" s="3" t="str">
        <f t="shared" si="8"/>
        <v>ene</v>
      </c>
      <c r="C166" s="7"/>
    </row>
    <row r="167" spans="1:3" x14ac:dyDescent="0.25">
      <c r="A167" s="3" t="str">
        <f t="shared" si="8"/>
        <v>ene</v>
      </c>
      <c r="C167" s="7"/>
    </row>
    <row r="168" spans="1:3" x14ac:dyDescent="0.25">
      <c r="A168" s="3" t="str">
        <f t="shared" si="8"/>
        <v>ene</v>
      </c>
      <c r="C168" s="7"/>
    </row>
    <row r="169" spans="1:3" x14ac:dyDescent="0.25">
      <c r="A169" s="3" t="str">
        <f t="shared" si="8"/>
        <v>ene</v>
      </c>
      <c r="C169" s="7"/>
    </row>
    <row r="170" spans="1:3" x14ac:dyDescent="0.25">
      <c r="A170" s="3" t="str">
        <f t="shared" si="8"/>
        <v>ene</v>
      </c>
      <c r="C170" s="7"/>
    </row>
    <row r="171" spans="1:3" x14ac:dyDescent="0.25">
      <c r="A171" s="3" t="str">
        <f t="shared" si="8"/>
        <v>ene</v>
      </c>
      <c r="C171" s="7"/>
    </row>
    <row r="172" spans="1:3" x14ac:dyDescent="0.25">
      <c r="A172" s="3" t="str">
        <f t="shared" si="8"/>
        <v>ene</v>
      </c>
      <c r="C172" s="7"/>
    </row>
    <row r="173" spans="1:3" x14ac:dyDescent="0.25">
      <c r="A173" s="3" t="str">
        <f t="shared" si="8"/>
        <v>ene</v>
      </c>
      <c r="C173" s="7"/>
    </row>
    <row r="174" spans="1:3" x14ac:dyDescent="0.25">
      <c r="A174" s="3" t="str">
        <f t="shared" si="8"/>
        <v>ene</v>
      </c>
      <c r="C174" s="7"/>
    </row>
    <row r="175" spans="1:3" x14ac:dyDescent="0.25">
      <c r="A175" s="3" t="str">
        <f t="shared" si="8"/>
        <v>ene</v>
      </c>
      <c r="C175" s="7"/>
    </row>
    <row r="176" spans="1:3" x14ac:dyDescent="0.25">
      <c r="A176" s="3" t="str">
        <f t="shared" si="8"/>
        <v>ene</v>
      </c>
      <c r="C176" s="7"/>
    </row>
    <row r="177" spans="1:3" x14ac:dyDescent="0.25">
      <c r="A177" s="3" t="str">
        <f t="shared" si="8"/>
        <v>ene</v>
      </c>
      <c r="C177" s="7"/>
    </row>
    <row r="178" spans="1:3" x14ac:dyDescent="0.25">
      <c r="A178" s="3" t="str">
        <f t="shared" si="8"/>
        <v>ene</v>
      </c>
      <c r="C178" s="7"/>
    </row>
    <row r="179" spans="1:3" x14ac:dyDescent="0.25">
      <c r="A179" s="3" t="str">
        <f t="shared" si="8"/>
        <v>ene</v>
      </c>
      <c r="C179" s="7"/>
    </row>
    <row r="180" spans="1:3" x14ac:dyDescent="0.25">
      <c r="A180" s="3" t="str">
        <f t="shared" si="8"/>
        <v>ene</v>
      </c>
      <c r="C180" s="7"/>
    </row>
    <row r="181" spans="1:3" x14ac:dyDescent="0.25">
      <c r="A181" s="3" t="str">
        <f t="shared" si="8"/>
        <v>ene</v>
      </c>
      <c r="C181" s="7"/>
    </row>
    <row r="182" spans="1:3" x14ac:dyDescent="0.25">
      <c r="A182" s="3" t="str">
        <f t="shared" si="8"/>
        <v>ene</v>
      </c>
      <c r="C182" s="7"/>
    </row>
    <row r="183" spans="1:3" x14ac:dyDescent="0.25">
      <c r="A183" s="3" t="str">
        <f t="shared" si="8"/>
        <v>ene</v>
      </c>
      <c r="C183" s="7"/>
    </row>
    <row r="184" spans="1:3" x14ac:dyDescent="0.25">
      <c r="A184" s="3" t="str">
        <f t="shared" si="8"/>
        <v>ene</v>
      </c>
      <c r="C184" s="7"/>
    </row>
    <row r="185" spans="1:3" x14ac:dyDescent="0.25">
      <c r="A185" s="3" t="str">
        <f t="shared" si="8"/>
        <v>ene</v>
      </c>
      <c r="C185" s="7"/>
    </row>
    <row r="186" spans="1:3" x14ac:dyDescent="0.25">
      <c r="A186" s="3" t="str">
        <f t="shared" si="8"/>
        <v>ene</v>
      </c>
      <c r="C186" s="7"/>
    </row>
    <row r="187" spans="1:3" x14ac:dyDescent="0.25">
      <c r="A187" s="3" t="str">
        <f t="shared" si="8"/>
        <v>ene</v>
      </c>
      <c r="C187" s="7"/>
    </row>
    <row r="188" spans="1:3" x14ac:dyDescent="0.25">
      <c r="A188" s="3" t="str">
        <f t="shared" si="8"/>
        <v>ene</v>
      </c>
      <c r="C188" s="7"/>
    </row>
    <row r="189" spans="1:3" x14ac:dyDescent="0.25">
      <c r="A189" s="3" t="str">
        <f t="shared" si="8"/>
        <v>ene</v>
      </c>
      <c r="C189" s="7"/>
    </row>
    <row r="190" spans="1:3" x14ac:dyDescent="0.25">
      <c r="A190" s="3" t="str">
        <f t="shared" si="8"/>
        <v>ene</v>
      </c>
      <c r="C190" s="7"/>
    </row>
    <row r="191" spans="1:3" x14ac:dyDescent="0.25">
      <c r="A191" s="3" t="str">
        <f t="shared" si="8"/>
        <v>ene</v>
      </c>
      <c r="C191" s="7"/>
    </row>
    <row r="192" spans="1:3" x14ac:dyDescent="0.25">
      <c r="A192" s="3" t="str">
        <f t="shared" si="8"/>
        <v>ene</v>
      </c>
      <c r="C192" s="7"/>
    </row>
    <row r="193" spans="1:3" x14ac:dyDescent="0.25">
      <c r="A193" s="3" t="str">
        <f t="shared" si="8"/>
        <v>ene</v>
      </c>
      <c r="C193" s="7"/>
    </row>
    <row r="194" spans="1:3" x14ac:dyDescent="0.25">
      <c r="A194" s="3" t="str">
        <f t="shared" si="8"/>
        <v>ene</v>
      </c>
      <c r="C194" s="7"/>
    </row>
    <row r="195" spans="1:3" x14ac:dyDescent="0.25">
      <c r="A195" s="3" t="str">
        <f t="shared" si="8"/>
        <v>ene</v>
      </c>
      <c r="C195" s="7"/>
    </row>
    <row r="196" spans="1:3" x14ac:dyDescent="0.25">
      <c r="A196" s="3" t="str">
        <f t="shared" si="8"/>
        <v>ene</v>
      </c>
      <c r="C196" s="7"/>
    </row>
    <row r="197" spans="1:3" x14ac:dyDescent="0.25">
      <c r="A197" s="3" t="str">
        <f t="shared" si="8"/>
        <v>ene</v>
      </c>
      <c r="C197" s="7"/>
    </row>
    <row r="198" spans="1:3" x14ac:dyDescent="0.25">
      <c r="A198" s="3" t="str">
        <f t="shared" ref="A198:A261" si="9">TEXT($D198,"mmm")</f>
        <v>ene</v>
      </c>
      <c r="C198" s="7"/>
    </row>
    <row r="199" spans="1:3" x14ac:dyDescent="0.25">
      <c r="A199" s="3" t="str">
        <f t="shared" si="9"/>
        <v>ene</v>
      </c>
      <c r="C199" s="7"/>
    </row>
    <row r="200" spans="1:3" x14ac:dyDescent="0.25">
      <c r="A200" s="3" t="str">
        <f t="shared" si="9"/>
        <v>ene</v>
      </c>
      <c r="C200" s="7"/>
    </row>
    <row r="201" spans="1:3" x14ac:dyDescent="0.25">
      <c r="A201" s="3" t="str">
        <f t="shared" si="9"/>
        <v>ene</v>
      </c>
      <c r="C201" s="7"/>
    </row>
    <row r="202" spans="1:3" x14ac:dyDescent="0.25">
      <c r="A202" s="3" t="str">
        <f t="shared" si="9"/>
        <v>ene</v>
      </c>
      <c r="C202" s="7"/>
    </row>
    <row r="203" spans="1:3" x14ac:dyDescent="0.25">
      <c r="A203" s="3" t="str">
        <f t="shared" si="9"/>
        <v>ene</v>
      </c>
      <c r="C203" s="7"/>
    </row>
    <row r="204" spans="1:3" x14ac:dyDescent="0.25">
      <c r="A204" s="3" t="str">
        <f t="shared" si="9"/>
        <v>ene</v>
      </c>
      <c r="C204" s="7"/>
    </row>
    <row r="205" spans="1:3" x14ac:dyDescent="0.25">
      <c r="A205" s="3" t="str">
        <f t="shared" si="9"/>
        <v>ene</v>
      </c>
      <c r="C205" s="7"/>
    </row>
    <row r="206" spans="1:3" x14ac:dyDescent="0.25">
      <c r="A206" s="3" t="str">
        <f t="shared" si="9"/>
        <v>ene</v>
      </c>
      <c r="C206" s="7"/>
    </row>
    <row r="207" spans="1:3" x14ac:dyDescent="0.25">
      <c r="A207" s="3" t="str">
        <f t="shared" si="9"/>
        <v>ene</v>
      </c>
      <c r="C207" s="7"/>
    </row>
    <row r="208" spans="1:3" x14ac:dyDescent="0.25">
      <c r="A208" s="3" t="str">
        <f t="shared" si="9"/>
        <v>ene</v>
      </c>
      <c r="C208" s="7"/>
    </row>
    <row r="209" spans="1:3" x14ac:dyDescent="0.25">
      <c r="A209" s="3" t="str">
        <f t="shared" si="9"/>
        <v>ene</v>
      </c>
      <c r="C209" s="7"/>
    </row>
    <row r="210" spans="1:3" x14ac:dyDescent="0.25">
      <c r="A210" s="3" t="str">
        <f t="shared" si="9"/>
        <v>ene</v>
      </c>
      <c r="C210" s="7"/>
    </row>
    <row r="211" spans="1:3" x14ac:dyDescent="0.25">
      <c r="A211" s="3" t="str">
        <f t="shared" si="9"/>
        <v>ene</v>
      </c>
      <c r="C211" s="7"/>
    </row>
    <row r="212" spans="1:3" x14ac:dyDescent="0.25">
      <c r="A212" s="3" t="str">
        <f t="shared" si="9"/>
        <v>ene</v>
      </c>
      <c r="C212" s="7"/>
    </row>
    <row r="213" spans="1:3" x14ac:dyDescent="0.25">
      <c r="A213" s="3" t="str">
        <f t="shared" si="9"/>
        <v>ene</v>
      </c>
      <c r="C213" s="7"/>
    </row>
    <row r="214" spans="1:3" x14ac:dyDescent="0.25">
      <c r="A214" s="3" t="str">
        <f t="shared" si="9"/>
        <v>ene</v>
      </c>
      <c r="C214" s="7"/>
    </row>
    <row r="215" spans="1:3" x14ac:dyDescent="0.25">
      <c r="A215" s="3" t="str">
        <f t="shared" si="9"/>
        <v>ene</v>
      </c>
      <c r="C215" s="7"/>
    </row>
    <row r="216" spans="1:3" x14ac:dyDescent="0.25">
      <c r="A216" s="3" t="str">
        <f t="shared" si="9"/>
        <v>ene</v>
      </c>
      <c r="C216" s="7"/>
    </row>
    <row r="217" spans="1:3" x14ac:dyDescent="0.25">
      <c r="A217" s="3" t="str">
        <f t="shared" si="9"/>
        <v>ene</v>
      </c>
      <c r="C217" s="7"/>
    </row>
    <row r="218" spans="1:3" x14ac:dyDescent="0.25">
      <c r="A218" s="3" t="str">
        <f t="shared" si="9"/>
        <v>ene</v>
      </c>
      <c r="C218" s="7"/>
    </row>
    <row r="219" spans="1:3" x14ac:dyDescent="0.25">
      <c r="A219" s="3" t="str">
        <f t="shared" si="9"/>
        <v>ene</v>
      </c>
      <c r="C219" s="7"/>
    </row>
    <row r="220" spans="1:3" x14ac:dyDescent="0.25">
      <c r="A220" s="3" t="str">
        <f t="shared" si="9"/>
        <v>ene</v>
      </c>
      <c r="C220" s="7"/>
    </row>
    <row r="221" spans="1:3" x14ac:dyDescent="0.25">
      <c r="A221" s="3" t="str">
        <f t="shared" si="9"/>
        <v>ene</v>
      </c>
      <c r="C221" s="7"/>
    </row>
    <row r="222" spans="1:3" x14ac:dyDescent="0.25">
      <c r="A222" s="3" t="str">
        <f t="shared" si="9"/>
        <v>ene</v>
      </c>
      <c r="C222" s="7"/>
    </row>
    <row r="223" spans="1:3" x14ac:dyDescent="0.25">
      <c r="A223" s="3" t="str">
        <f t="shared" si="9"/>
        <v>ene</v>
      </c>
      <c r="C223" s="7"/>
    </row>
    <row r="224" spans="1:3" x14ac:dyDescent="0.25">
      <c r="A224" s="3" t="str">
        <f t="shared" si="9"/>
        <v>ene</v>
      </c>
      <c r="C224" s="7"/>
    </row>
    <row r="225" spans="1:3" x14ac:dyDescent="0.25">
      <c r="A225" s="3" t="str">
        <f t="shared" si="9"/>
        <v>ene</v>
      </c>
      <c r="C225" s="7"/>
    </row>
    <row r="226" spans="1:3" x14ac:dyDescent="0.25">
      <c r="A226" s="3" t="str">
        <f t="shared" si="9"/>
        <v>ene</v>
      </c>
      <c r="C226" s="7"/>
    </row>
    <row r="227" spans="1:3" x14ac:dyDescent="0.25">
      <c r="A227" s="3" t="str">
        <f t="shared" si="9"/>
        <v>ene</v>
      </c>
      <c r="C227" s="7"/>
    </row>
    <row r="228" spans="1:3" x14ac:dyDescent="0.25">
      <c r="A228" s="3" t="str">
        <f t="shared" si="9"/>
        <v>ene</v>
      </c>
      <c r="C228" s="7"/>
    </row>
    <row r="229" spans="1:3" x14ac:dyDescent="0.25">
      <c r="A229" s="3" t="str">
        <f t="shared" si="9"/>
        <v>ene</v>
      </c>
      <c r="C229" s="7"/>
    </row>
    <row r="230" spans="1:3" x14ac:dyDescent="0.25">
      <c r="A230" s="3" t="str">
        <f t="shared" si="9"/>
        <v>ene</v>
      </c>
      <c r="C230" s="7"/>
    </row>
    <row r="231" spans="1:3" x14ac:dyDescent="0.25">
      <c r="A231" s="3" t="str">
        <f t="shared" si="9"/>
        <v>ene</v>
      </c>
      <c r="C231" s="7"/>
    </row>
    <row r="232" spans="1:3" x14ac:dyDescent="0.25">
      <c r="A232" s="3" t="str">
        <f t="shared" si="9"/>
        <v>ene</v>
      </c>
      <c r="C232" s="7"/>
    </row>
    <row r="233" spans="1:3" x14ac:dyDescent="0.25">
      <c r="A233" s="3" t="str">
        <f t="shared" si="9"/>
        <v>ene</v>
      </c>
      <c r="C233" s="7"/>
    </row>
    <row r="234" spans="1:3" x14ac:dyDescent="0.25">
      <c r="A234" s="3" t="str">
        <f t="shared" si="9"/>
        <v>ene</v>
      </c>
      <c r="C234" s="7"/>
    </row>
    <row r="235" spans="1:3" x14ac:dyDescent="0.25">
      <c r="A235" s="3" t="str">
        <f t="shared" si="9"/>
        <v>ene</v>
      </c>
      <c r="C235" s="7"/>
    </row>
    <row r="236" spans="1:3" x14ac:dyDescent="0.25">
      <c r="A236" s="3" t="str">
        <f t="shared" si="9"/>
        <v>ene</v>
      </c>
      <c r="C236" s="7"/>
    </row>
    <row r="237" spans="1:3" x14ac:dyDescent="0.25">
      <c r="A237" s="3" t="str">
        <f t="shared" si="9"/>
        <v>ene</v>
      </c>
      <c r="C237" s="7"/>
    </row>
    <row r="238" spans="1:3" x14ac:dyDescent="0.25">
      <c r="A238" s="3" t="str">
        <f t="shared" si="9"/>
        <v>ene</v>
      </c>
      <c r="C238" s="7"/>
    </row>
    <row r="239" spans="1:3" x14ac:dyDescent="0.25">
      <c r="A239" s="3" t="str">
        <f t="shared" si="9"/>
        <v>ene</v>
      </c>
      <c r="C239" s="7"/>
    </row>
    <row r="240" spans="1:3" x14ac:dyDescent="0.25">
      <c r="A240" s="3" t="str">
        <f t="shared" si="9"/>
        <v>ene</v>
      </c>
      <c r="C240" s="7"/>
    </row>
    <row r="241" spans="1:3" x14ac:dyDescent="0.25">
      <c r="A241" s="3" t="str">
        <f t="shared" si="9"/>
        <v>ene</v>
      </c>
      <c r="C241" s="7"/>
    </row>
    <row r="242" spans="1:3" x14ac:dyDescent="0.25">
      <c r="A242" s="3" t="str">
        <f t="shared" si="9"/>
        <v>ene</v>
      </c>
      <c r="C242" s="7"/>
    </row>
    <row r="243" spans="1:3" x14ac:dyDescent="0.25">
      <c r="A243" s="3" t="str">
        <f t="shared" si="9"/>
        <v>ene</v>
      </c>
      <c r="C243" s="7"/>
    </row>
    <row r="244" spans="1:3" x14ac:dyDescent="0.25">
      <c r="A244" s="3" t="str">
        <f t="shared" si="9"/>
        <v>ene</v>
      </c>
      <c r="C244" s="7"/>
    </row>
    <row r="245" spans="1:3" x14ac:dyDescent="0.25">
      <c r="A245" s="3" t="str">
        <f t="shared" si="9"/>
        <v>ene</v>
      </c>
      <c r="C245" s="7"/>
    </row>
    <row r="246" spans="1:3" x14ac:dyDescent="0.25">
      <c r="A246" s="3" t="str">
        <f t="shared" si="9"/>
        <v>ene</v>
      </c>
      <c r="C246" s="7"/>
    </row>
    <row r="247" spans="1:3" x14ac:dyDescent="0.25">
      <c r="A247" s="3" t="str">
        <f t="shared" si="9"/>
        <v>ene</v>
      </c>
      <c r="C247" s="7"/>
    </row>
    <row r="248" spans="1:3" x14ac:dyDescent="0.25">
      <c r="A248" s="3" t="str">
        <f t="shared" si="9"/>
        <v>ene</v>
      </c>
      <c r="C248" s="7"/>
    </row>
    <row r="249" spans="1:3" x14ac:dyDescent="0.25">
      <c r="A249" s="3" t="str">
        <f t="shared" si="9"/>
        <v>ene</v>
      </c>
      <c r="C249" s="7"/>
    </row>
    <row r="250" spans="1:3" x14ac:dyDescent="0.25">
      <c r="A250" s="3" t="str">
        <f t="shared" si="9"/>
        <v>ene</v>
      </c>
      <c r="C250" s="7"/>
    </row>
    <row r="251" spans="1:3" x14ac:dyDescent="0.25">
      <c r="A251" s="3" t="str">
        <f t="shared" si="9"/>
        <v>ene</v>
      </c>
      <c r="C251" s="7"/>
    </row>
    <row r="252" spans="1:3" x14ac:dyDescent="0.25">
      <c r="A252" s="3" t="str">
        <f t="shared" si="9"/>
        <v>ene</v>
      </c>
      <c r="C252" s="7"/>
    </row>
    <row r="253" spans="1:3" x14ac:dyDescent="0.25">
      <c r="A253" s="3" t="str">
        <f t="shared" si="9"/>
        <v>ene</v>
      </c>
      <c r="C253" s="7"/>
    </row>
    <row r="254" spans="1:3" x14ac:dyDescent="0.25">
      <c r="A254" s="3" t="str">
        <f t="shared" si="9"/>
        <v>ene</v>
      </c>
      <c r="C254" s="7"/>
    </row>
    <row r="255" spans="1:3" x14ac:dyDescent="0.25">
      <c r="A255" s="3" t="str">
        <f t="shared" si="9"/>
        <v>ene</v>
      </c>
      <c r="C255" s="7"/>
    </row>
    <row r="256" spans="1:3" x14ac:dyDescent="0.25">
      <c r="A256" s="3" t="str">
        <f t="shared" si="9"/>
        <v>ene</v>
      </c>
      <c r="C256" s="7"/>
    </row>
    <row r="257" spans="1:3" x14ac:dyDescent="0.25">
      <c r="A257" s="3" t="str">
        <f t="shared" si="9"/>
        <v>ene</v>
      </c>
      <c r="C257" s="7"/>
    </row>
    <row r="258" spans="1:3" x14ac:dyDescent="0.25">
      <c r="A258" s="3" t="str">
        <f t="shared" si="9"/>
        <v>ene</v>
      </c>
      <c r="C258" s="7"/>
    </row>
    <row r="259" spans="1:3" x14ac:dyDescent="0.25">
      <c r="A259" s="3" t="str">
        <f t="shared" si="9"/>
        <v>ene</v>
      </c>
      <c r="C259" s="7"/>
    </row>
    <row r="260" spans="1:3" x14ac:dyDescent="0.25">
      <c r="A260" s="3" t="str">
        <f t="shared" si="9"/>
        <v>ene</v>
      </c>
      <c r="C260" s="7"/>
    </row>
    <row r="261" spans="1:3" x14ac:dyDescent="0.25">
      <c r="A261" s="3" t="str">
        <f t="shared" si="9"/>
        <v>ene</v>
      </c>
      <c r="C261" s="7"/>
    </row>
    <row r="262" spans="1:3" x14ac:dyDescent="0.25">
      <c r="A262" s="3" t="str">
        <f t="shared" ref="A262:A325" si="10">TEXT($D262,"mmm")</f>
        <v>ene</v>
      </c>
      <c r="C262" s="7"/>
    </row>
    <row r="263" spans="1:3" x14ac:dyDescent="0.25">
      <c r="A263" s="3" t="str">
        <f t="shared" si="10"/>
        <v>ene</v>
      </c>
      <c r="C263" s="7"/>
    </row>
    <row r="264" spans="1:3" x14ac:dyDescent="0.25">
      <c r="A264" s="3" t="str">
        <f t="shared" si="10"/>
        <v>ene</v>
      </c>
      <c r="C264" s="7"/>
    </row>
    <row r="265" spans="1:3" x14ac:dyDescent="0.25">
      <c r="A265" s="3" t="str">
        <f t="shared" si="10"/>
        <v>ene</v>
      </c>
      <c r="C265" s="7"/>
    </row>
    <row r="266" spans="1:3" x14ac:dyDescent="0.25">
      <c r="A266" s="3" t="str">
        <f t="shared" si="10"/>
        <v>ene</v>
      </c>
      <c r="C266" s="7"/>
    </row>
    <row r="267" spans="1:3" x14ac:dyDescent="0.25">
      <c r="A267" s="3" t="str">
        <f t="shared" si="10"/>
        <v>ene</v>
      </c>
      <c r="C267" s="7"/>
    </row>
    <row r="268" spans="1:3" x14ac:dyDescent="0.25">
      <c r="A268" s="3" t="str">
        <f t="shared" si="10"/>
        <v>ene</v>
      </c>
      <c r="C268" s="7"/>
    </row>
    <row r="269" spans="1:3" x14ac:dyDescent="0.25">
      <c r="A269" s="3" t="str">
        <f t="shared" si="10"/>
        <v>ene</v>
      </c>
      <c r="C269" s="7"/>
    </row>
    <row r="270" spans="1:3" x14ac:dyDescent="0.25">
      <c r="A270" s="3" t="str">
        <f t="shared" si="10"/>
        <v>ene</v>
      </c>
      <c r="C270" s="7"/>
    </row>
    <row r="271" spans="1:3" x14ac:dyDescent="0.25">
      <c r="A271" s="3" t="str">
        <f t="shared" si="10"/>
        <v>ene</v>
      </c>
      <c r="C271" s="7"/>
    </row>
    <row r="272" spans="1:3" x14ac:dyDescent="0.25">
      <c r="A272" s="3" t="str">
        <f t="shared" si="10"/>
        <v>ene</v>
      </c>
      <c r="C272" s="7"/>
    </row>
    <row r="273" spans="1:3" x14ac:dyDescent="0.25">
      <c r="A273" s="3" t="str">
        <f t="shared" si="10"/>
        <v>ene</v>
      </c>
      <c r="C273" s="7"/>
    </row>
    <row r="274" spans="1:3" x14ac:dyDescent="0.25">
      <c r="A274" s="3" t="str">
        <f t="shared" si="10"/>
        <v>ene</v>
      </c>
      <c r="C274" s="7"/>
    </row>
    <row r="275" spans="1:3" x14ac:dyDescent="0.25">
      <c r="A275" s="3" t="str">
        <f t="shared" si="10"/>
        <v>ene</v>
      </c>
      <c r="C275" s="7"/>
    </row>
    <row r="276" spans="1:3" x14ac:dyDescent="0.25">
      <c r="A276" s="3" t="str">
        <f t="shared" si="10"/>
        <v>ene</v>
      </c>
      <c r="C276" s="7"/>
    </row>
    <row r="277" spans="1:3" x14ac:dyDescent="0.25">
      <c r="A277" s="3" t="str">
        <f t="shared" si="10"/>
        <v>ene</v>
      </c>
      <c r="C277" s="7"/>
    </row>
    <row r="278" spans="1:3" x14ac:dyDescent="0.25">
      <c r="A278" s="3" t="str">
        <f t="shared" si="10"/>
        <v>ene</v>
      </c>
      <c r="C278" s="7"/>
    </row>
    <row r="279" spans="1:3" x14ac:dyDescent="0.25">
      <c r="A279" s="3" t="str">
        <f t="shared" si="10"/>
        <v>ene</v>
      </c>
      <c r="C279" s="7"/>
    </row>
    <row r="280" spans="1:3" x14ac:dyDescent="0.25">
      <c r="A280" s="3" t="str">
        <f t="shared" si="10"/>
        <v>ene</v>
      </c>
      <c r="C280" s="7"/>
    </row>
    <row r="281" spans="1:3" x14ac:dyDescent="0.25">
      <c r="A281" s="3" t="str">
        <f t="shared" si="10"/>
        <v>ene</v>
      </c>
      <c r="C281" s="7"/>
    </row>
    <row r="282" spans="1:3" x14ac:dyDescent="0.25">
      <c r="A282" s="3" t="str">
        <f t="shared" si="10"/>
        <v>ene</v>
      </c>
      <c r="C282" s="7"/>
    </row>
    <row r="283" spans="1:3" x14ac:dyDescent="0.25">
      <c r="A283" s="3" t="str">
        <f t="shared" si="10"/>
        <v>ene</v>
      </c>
      <c r="C283" s="7"/>
    </row>
    <row r="284" spans="1:3" x14ac:dyDescent="0.25">
      <c r="A284" s="3" t="str">
        <f t="shared" si="10"/>
        <v>ene</v>
      </c>
      <c r="C284" s="7"/>
    </row>
    <row r="285" spans="1:3" x14ac:dyDescent="0.25">
      <c r="A285" s="3" t="str">
        <f t="shared" si="10"/>
        <v>ene</v>
      </c>
      <c r="C285" s="7"/>
    </row>
    <row r="286" spans="1:3" x14ac:dyDescent="0.25">
      <c r="A286" s="3" t="str">
        <f t="shared" si="10"/>
        <v>ene</v>
      </c>
      <c r="C286" s="7"/>
    </row>
    <row r="287" spans="1:3" x14ac:dyDescent="0.25">
      <c r="A287" s="3" t="str">
        <f t="shared" si="10"/>
        <v>ene</v>
      </c>
      <c r="C287" s="7"/>
    </row>
    <row r="288" spans="1:3" x14ac:dyDescent="0.25">
      <c r="A288" s="3" t="str">
        <f t="shared" si="10"/>
        <v>ene</v>
      </c>
      <c r="C288" s="7"/>
    </row>
    <row r="289" spans="1:3" x14ac:dyDescent="0.25">
      <c r="A289" s="3" t="str">
        <f t="shared" si="10"/>
        <v>ene</v>
      </c>
      <c r="C289" s="7"/>
    </row>
    <row r="290" spans="1:3" x14ac:dyDescent="0.25">
      <c r="A290" s="3" t="str">
        <f t="shared" si="10"/>
        <v>ene</v>
      </c>
      <c r="C290" s="7"/>
    </row>
    <row r="291" spans="1:3" x14ac:dyDescent="0.25">
      <c r="A291" s="3" t="str">
        <f t="shared" si="10"/>
        <v>ene</v>
      </c>
      <c r="C291" s="7"/>
    </row>
    <row r="292" spans="1:3" x14ac:dyDescent="0.25">
      <c r="A292" s="3" t="str">
        <f t="shared" si="10"/>
        <v>ene</v>
      </c>
      <c r="C292" s="7"/>
    </row>
    <row r="293" spans="1:3" x14ac:dyDescent="0.25">
      <c r="A293" s="3" t="str">
        <f t="shared" si="10"/>
        <v>ene</v>
      </c>
      <c r="C293" s="7"/>
    </row>
    <row r="294" spans="1:3" x14ac:dyDescent="0.25">
      <c r="A294" s="3" t="str">
        <f t="shared" si="10"/>
        <v>ene</v>
      </c>
      <c r="C294" s="7"/>
    </row>
    <row r="295" spans="1:3" x14ac:dyDescent="0.25">
      <c r="A295" s="3" t="str">
        <f t="shared" si="10"/>
        <v>ene</v>
      </c>
      <c r="C295" s="7"/>
    </row>
    <row r="296" spans="1:3" x14ac:dyDescent="0.25">
      <c r="A296" s="3" t="str">
        <f t="shared" si="10"/>
        <v>ene</v>
      </c>
      <c r="C296" s="7"/>
    </row>
    <row r="297" spans="1:3" x14ac:dyDescent="0.25">
      <c r="A297" s="3" t="str">
        <f t="shared" si="10"/>
        <v>ene</v>
      </c>
      <c r="C297" s="7"/>
    </row>
    <row r="298" spans="1:3" x14ac:dyDescent="0.25">
      <c r="A298" s="3" t="str">
        <f t="shared" si="10"/>
        <v>ene</v>
      </c>
      <c r="C298" s="7"/>
    </row>
    <row r="299" spans="1:3" x14ac:dyDescent="0.25">
      <c r="A299" s="3" t="str">
        <f t="shared" si="10"/>
        <v>ene</v>
      </c>
      <c r="C299" s="7"/>
    </row>
    <row r="300" spans="1:3" x14ac:dyDescent="0.25">
      <c r="A300" s="3" t="str">
        <f t="shared" si="10"/>
        <v>ene</v>
      </c>
      <c r="C300" s="7"/>
    </row>
    <row r="301" spans="1:3" x14ac:dyDescent="0.25">
      <c r="A301" s="3" t="str">
        <f t="shared" si="10"/>
        <v>ene</v>
      </c>
      <c r="C301" s="7"/>
    </row>
    <row r="302" spans="1:3" x14ac:dyDescent="0.25">
      <c r="A302" s="3" t="str">
        <f t="shared" si="10"/>
        <v>ene</v>
      </c>
      <c r="C302" s="7"/>
    </row>
    <row r="303" spans="1:3" x14ac:dyDescent="0.25">
      <c r="A303" s="3" t="str">
        <f t="shared" si="10"/>
        <v>ene</v>
      </c>
      <c r="C303" s="7"/>
    </row>
    <row r="304" spans="1:3" x14ac:dyDescent="0.25">
      <c r="A304" s="3" t="str">
        <f t="shared" si="10"/>
        <v>ene</v>
      </c>
      <c r="C304" s="7"/>
    </row>
    <row r="305" spans="1:3" x14ac:dyDescent="0.25">
      <c r="A305" s="3" t="str">
        <f t="shared" si="10"/>
        <v>ene</v>
      </c>
      <c r="C305" s="7"/>
    </row>
    <row r="306" spans="1:3" x14ac:dyDescent="0.25">
      <c r="A306" s="3" t="str">
        <f t="shared" si="10"/>
        <v>ene</v>
      </c>
      <c r="C306" s="7"/>
    </row>
    <row r="307" spans="1:3" x14ac:dyDescent="0.25">
      <c r="A307" s="3" t="str">
        <f t="shared" si="10"/>
        <v>ene</v>
      </c>
      <c r="C307" s="7"/>
    </row>
    <row r="308" spans="1:3" x14ac:dyDescent="0.25">
      <c r="A308" s="3" t="str">
        <f t="shared" si="10"/>
        <v>ene</v>
      </c>
      <c r="C308" s="7"/>
    </row>
    <row r="309" spans="1:3" x14ac:dyDescent="0.25">
      <c r="A309" s="3" t="str">
        <f t="shared" si="10"/>
        <v>ene</v>
      </c>
      <c r="C309" s="7"/>
    </row>
    <row r="310" spans="1:3" x14ac:dyDescent="0.25">
      <c r="A310" s="3" t="str">
        <f t="shared" si="10"/>
        <v>ene</v>
      </c>
      <c r="C310" s="7"/>
    </row>
    <row r="311" spans="1:3" x14ac:dyDescent="0.25">
      <c r="A311" s="3" t="str">
        <f t="shared" si="10"/>
        <v>ene</v>
      </c>
      <c r="C311" s="7"/>
    </row>
    <row r="312" spans="1:3" x14ac:dyDescent="0.25">
      <c r="A312" s="3" t="str">
        <f t="shared" si="10"/>
        <v>ene</v>
      </c>
      <c r="C312" s="7"/>
    </row>
    <row r="313" spans="1:3" x14ac:dyDescent="0.25">
      <c r="A313" s="3" t="str">
        <f t="shared" si="10"/>
        <v>ene</v>
      </c>
      <c r="C313" s="7"/>
    </row>
    <row r="314" spans="1:3" x14ac:dyDescent="0.25">
      <c r="A314" s="3" t="str">
        <f t="shared" si="10"/>
        <v>ene</v>
      </c>
      <c r="C314" s="7"/>
    </row>
    <row r="315" spans="1:3" x14ac:dyDescent="0.25">
      <c r="A315" s="3" t="str">
        <f t="shared" si="10"/>
        <v>ene</v>
      </c>
      <c r="C315" s="7"/>
    </row>
    <row r="316" spans="1:3" x14ac:dyDescent="0.25">
      <c r="A316" s="3" t="str">
        <f t="shared" si="10"/>
        <v>ene</v>
      </c>
      <c r="C316" s="7"/>
    </row>
    <row r="317" spans="1:3" x14ac:dyDescent="0.25">
      <c r="A317" s="3" t="str">
        <f t="shared" si="10"/>
        <v>ene</v>
      </c>
      <c r="C317" s="7"/>
    </row>
    <row r="318" spans="1:3" x14ac:dyDescent="0.25">
      <c r="A318" s="3" t="str">
        <f t="shared" si="10"/>
        <v>ene</v>
      </c>
      <c r="C318" s="7"/>
    </row>
    <row r="319" spans="1:3" x14ac:dyDescent="0.25">
      <c r="A319" s="3" t="str">
        <f t="shared" si="10"/>
        <v>ene</v>
      </c>
      <c r="C319" s="7"/>
    </row>
    <row r="320" spans="1:3" x14ac:dyDescent="0.25">
      <c r="A320" s="3" t="str">
        <f t="shared" si="10"/>
        <v>ene</v>
      </c>
      <c r="C320" s="7"/>
    </row>
    <row r="321" spans="1:3" x14ac:dyDescent="0.25">
      <c r="A321" s="3" t="str">
        <f t="shared" si="10"/>
        <v>ene</v>
      </c>
      <c r="C321" s="7"/>
    </row>
    <row r="322" spans="1:3" x14ac:dyDescent="0.25">
      <c r="A322" s="3" t="str">
        <f t="shared" si="10"/>
        <v>ene</v>
      </c>
      <c r="C322" s="7"/>
    </row>
    <row r="323" spans="1:3" x14ac:dyDescent="0.25">
      <c r="A323" s="3" t="str">
        <f t="shared" si="10"/>
        <v>ene</v>
      </c>
      <c r="C323" s="7"/>
    </row>
    <row r="324" spans="1:3" x14ac:dyDescent="0.25">
      <c r="A324" s="3" t="str">
        <f t="shared" si="10"/>
        <v>ene</v>
      </c>
      <c r="C324" s="7"/>
    </row>
    <row r="325" spans="1:3" x14ac:dyDescent="0.25">
      <c r="A325" s="3" t="str">
        <f t="shared" si="10"/>
        <v>ene</v>
      </c>
      <c r="C325" s="7"/>
    </row>
    <row r="326" spans="1:3" x14ac:dyDescent="0.25">
      <c r="A326" s="3" t="str">
        <f t="shared" ref="A326:A389" si="11">TEXT($D326,"mmm")</f>
        <v>ene</v>
      </c>
      <c r="C326" s="7"/>
    </row>
    <row r="327" spans="1:3" x14ac:dyDescent="0.25">
      <c r="A327" s="3" t="str">
        <f t="shared" si="11"/>
        <v>ene</v>
      </c>
      <c r="C327" s="7"/>
    </row>
    <row r="328" spans="1:3" x14ac:dyDescent="0.25">
      <c r="A328" s="3" t="str">
        <f t="shared" si="11"/>
        <v>ene</v>
      </c>
      <c r="C328" s="7"/>
    </row>
    <row r="329" spans="1:3" x14ac:dyDescent="0.25">
      <c r="A329" s="3" t="str">
        <f t="shared" si="11"/>
        <v>ene</v>
      </c>
      <c r="C329" s="7"/>
    </row>
    <row r="330" spans="1:3" x14ac:dyDescent="0.25">
      <c r="A330" s="3" t="str">
        <f t="shared" si="11"/>
        <v>ene</v>
      </c>
      <c r="C330" s="7"/>
    </row>
    <row r="331" spans="1:3" x14ac:dyDescent="0.25">
      <c r="A331" s="3" t="str">
        <f t="shared" si="11"/>
        <v>ene</v>
      </c>
      <c r="C331" s="7"/>
    </row>
    <row r="332" spans="1:3" x14ac:dyDescent="0.25">
      <c r="A332" s="3" t="str">
        <f t="shared" si="11"/>
        <v>ene</v>
      </c>
      <c r="C332" s="7"/>
    </row>
    <row r="333" spans="1:3" x14ac:dyDescent="0.25">
      <c r="A333" s="3" t="str">
        <f t="shared" si="11"/>
        <v>ene</v>
      </c>
      <c r="C333" s="7"/>
    </row>
    <row r="334" spans="1:3" x14ac:dyDescent="0.25">
      <c r="A334" s="3" t="str">
        <f t="shared" si="11"/>
        <v>ene</v>
      </c>
      <c r="C334" s="7"/>
    </row>
    <row r="335" spans="1:3" x14ac:dyDescent="0.25">
      <c r="A335" s="3" t="str">
        <f t="shared" si="11"/>
        <v>ene</v>
      </c>
      <c r="C335" s="7"/>
    </row>
    <row r="336" spans="1:3" x14ac:dyDescent="0.25">
      <c r="A336" s="3" t="str">
        <f t="shared" si="11"/>
        <v>ene</v>
      </c>
      <c r="C336" s="7"/>
    </row>
    <row r="337" spans="1:3" x14ac:dyDescent="0.25">
      <c r="A337" s="3" t="str">
        <f t="shared" si="11"/>
        <v>ene</v>
      </c>
      <c r="C337" s="7"/>
    </row>
    <row r="338" spans="1:3" x14ac:dyDescent="0.25">
      <c r="A338" s="3" t="str">
        <f t="shared" si="11"/>
        <v>ene</v>
      </c>
      <c r="C338" s="7"/>
    </row>
    <row r="339" spans="1:3" x14ac:dyDescent="0.25">
      <c r="A339" s="3" t="str">
        <f t="shared" si="11"/>
        <v>ene</v>
      </c>
      <c r="C339" s="7"/>
    </row>
    <row r="340" spans="1:3" x14ac:dyDescent="0.25">
      <c r="A340" s="3" t="str">
        <f t="shared" si="11"/>
        <v>ene</v>
      </c>
      <c r="C340" s="7"/>
    </row>
    <row r="341" spans="1:3" x14ac:dyDescent="0.25">
      <c r="A341" s="3" t="str">
        <f t="shared" si="11"/>
        <v>ene</v>
      </c>
      <c r="C341" s="7"/>
    </row>
    <row r="342" spans="1:3" x14ac:dyDescent="0.25">
      <c r="A342" s="3" t="str">
        <f t="shared" si="11"/>
        <v>ene</v>
      </c>
      <c r="C342" s="7"/>
    </row>
    <row r="343" spans="1:3" x14ac:dyDescent="0.25">
      <c r="A343" s="3" t="str">
        <f t="shared" si="11"/>
        <v>ene</v>
      </c>
      <c r="C343" s="7"/>
    </row>
    <row r="344" spans="1:3" x14ac:dyDescent="0.25">
      <c r="A344" s="3" t="str">
        <f t="shared" si="11"/>
        <v>ene</v>
      </c>
      <c r="C344" s="7"/>
    </row>
    <row r="345" spans="1:3" x14ac:dyDescent="0.25">
      <c r="A345" s="3" t="str">
        <f t="shared" si="11"/>
        <v>ene</v>
      </c>
      <c r="C345" s="7"/>
    </row>
    <row r="346" spans="1:3" x14ac:dyDescent="0.25">
      <c r="A346" s="3" t="str">
        <f t="shared" si="11"/>
        <v>ene</v>
      </c>
      <c r="C346" s="7"/>
    </row>
    <row r="347" spans="1:3" x14ac:dyDescent="0.25">
      <c r="A347" s="3" t="str">
        <f t="shared" si="11"/>
        <v>ene</v>
      </c>
      <c r="C347" s="7"/>
    </row>
    <row r="348" spans="1:3" x14ac:dyDescent="0.25">
      <c r="A348" s="3" t="str">
        <f t="shared" si="11"/>
        <v>ene</v>
      </c>
      <c r="C348" s="7"/>
    </row>
    <row r="349" spans="1:3" x14ac:dyDescent="0.25">
      <c r="A349" s="3" t="str">
        <f t="shared" si="11"/>
        <v>ene</v>
      </c>
      <c r="C349" s="7"/>
    </row>
    <row r="350" spans="1:3" x14ac:dyDescent="0.25">
      <c r="A350" s="3" t="str">
        <f t="shared" si="11"/>
        <v>ene</v>
      </c>
      <c r="C350" s="7"/>
    </row>
    <row r="351" spans="1:3" x14ac:dyDescent="0.25">
      <c r="A351" s="3" t="str">
        <f t="shared" si="11"/>
        <v>ene</v>
      </c>
      <c r="C351" s="7"/>
    </row>
    <row r="352" spans="1:3" x14ac:dyDescent="0.25">
      <c r="A352" s="3" t="str">
        <f t="shared" si="11"/>
        <v>ene</v>
      </c>
      <c r="C352" s="7"/>
    </row>
    <row r="353" spans="1:3" x14ac:dyDescent="0.25">
      <c r="A353" s="3" t="str">
        <f t="shared" si="11"/>
        <v>ene</v>
      </c>
      <c r="C353" s="7"/>
    </row>
    <row r="354" spans="1:3" x14ac:dyDescent="0.25">
      <c r="A354" s="3" t="str">
        <f t="shared" si="11"/>
        <v>ene</v>
      </c>
      <c r="C354" s="7"/>
    </row>
    <row r="355" spans="1:3" x14ac:dyDescent="0.25">
      <c r="A355" s="3" t="str">
        <f t="shared" si="11"/>
        <v>ene</v>
      </c>
      <c r="C355" s="7"/>
    </row>
    <row r="356" spans="1:3" x14ac:dyDescent="0.25">
      <c r="A356" s="3" t="str">
        <f t="shared" si="11"/>
        <v>ene</v>
      </c>
      <c r="C356" s="7"/>
    </row>
    <row r="357" spans="1:3" x14ac:dyDescent="0.25">
      <c r="A357" s="3" t="str">
        <f t="shared" si="11"/>
        <v>ene</v>
      </c>
      <c r="C357" s="7"/>
    </row>
    <row r="358" spans="1:3" x14ac:dyDescent="0.25">
      <c r="A358" s="3" t="str">
        <f t="shared" si="11"/>
        <v>ene</v>
      </c>
      <c r="C358" s="7"/>
    </row>
    <row r="359" spans="1:3" x14ac:dyDescent="0.25">
      <c r="A359" s="3" t="str">
        <f t="shared" si="11"/>
        <v>ene</v>
      </c>
      <c r="C359" s="7"/>
    </row>
    <row r="360" spans="1:3" x14ac:dyDescent="0.25">
      <c r="A360" s="3" t="str">
        <f t="shared" si="11"/>
        <v>ene</v>
      </c>
      <c r="C360" s="7"/>
    </row>
    <row r="361" spans="1:3" x14ac:dyDescent="0.25">
      <c r="A361" s="3" t="str">
        <f t="shared" si="11"/>
        <v>ene</v>
      </c>
      <c r="C361" s="7"/>
    </row>
    <row r="362" spans="1:3" x14ac:dyDescent="0.25">
      <c r="A362" s="3" t="str">
        <f t="shared" si="11"/>
        <v>ene</v>
      </c>
      <c r="C362" s="7"/>
    </row>
    <row r="363" spans="1:3" x14ac:dyDescent="0.25">
      <c r="A363" s="3" t="str">
        <f t="shared" si="11"/>
        <v>ene</v>
      </c>
      <c r="C363" s="7"/>
    </row>
    <row r="364" spans="1:3" x14ac:dyDescent="0.25">
      <c r="A364" s="3" t="str">
        <f t="shared" si="11"/>
        <v>ene</v>
      </c>
      <c r="C364" s="7"/>
    </row>
    <row r="365" spans="1:3" x14ac:dyDescent="0.25">
      <c r="A365" s="3" t="str">
        <f t="shared" si="11"/>
        <v>ene</v>
      </c>
      <c r="C365" s="7"/>
    </row>
    <row r="366" spans="1:3" x14ac:dyDescent="0.25">
      <c r="A366" s="3" t="str">
        <f t="shared" si="11"/>
        <v>ene</v>
      </c>
      <c r="C366" s="7"/>
    </row>
    <row r="367" spans="1:3" x14ac:dyDescent="0.25">
      <c r="A367" s="3" t="str">
        <f t="shared" si="11"/>
        <v>ene</v>
      </c>
      <c r="C367" s="7"/>
    </row>
    <row r="368" spans="1:3" x14ac:dyDescent="0.25">
      <c r="A368" s="3" t="str">
        <f t="shared" si="11"/>
        <v>ene</v>
      </c>
      <c r="C368" s="7"/>
    </row>
    <row r="369" spans="1:3" x14ac:dyDescent="0.25">
      <c r="A369" s="3" t="str">
        <f t="shared" si="11"/>
        <v>ene</v>
      </c>
      <c r="C369" s="7"/>
    </row>
    <row r="370" spans="1:3" x14ac:dyDescent="0.25">
      <c r="A370" s="3" t="str">
        <f t="shared" si="11"/>
        <v>ene</v>
      </c>
      <c r="C370" s="7"/>
    </row>
    <row r="371" spans="1:3" x14ac:dyDescent="0.25">
      <c r="A371" s="3" t="str">
        <f t="shared" si="11"/>
        <v>ene</v>
      </c>
      <c r="C371" s="7"/>
    </row>
    <row r="372" spans="1:3" x14ac:dyDescent="0.25">
      <c r="A372" s="3" t="str">
        <f t="shared" si="11"/>
        <v>ene</v>
      </c>
      <c r="C372" s="7"/>
    </row>
    <row r="373" spans="1:3" x14ac:dyDescent="0.25">
      <c r="A373" s="3" t="str">
        <f t="shared" si="11"/>
        <v>ene</v>
      </c>
      <c r="C373" s="7"/>
    </row>
    <row r="374" spans="1:3" x14ac:dyDescent="0.25">
      <c r="A374" s="3" t="str">
        <f t="shared" si="11"/>
        <v>ene</v>
      </c>
      <c r="C374" s="7"/>
    </row>
    <row r="375" spans="1:3" x14ac:dyDescent="0.25">
      <c r="A375" s="3" t="str">
        <f t="shared" si="11"/>
        <v>ene</v>
      </c>
      <c r="C375" s="7"/>
    </row>
    <row r="376" spans="1:3" x14ac:dyDescent="0.25">
      <c r="A376" s="3" t="str">
        <f t="shared" si="11"/>
        <v>ene</v>
      </c>
      <c r="C376" s="7"/>
    </row>
    <row r="377" spans="1:3" x14ac:dyDescent="0.25">
      <c r="A377" s="3" t="str">
        <f t="shared" si="11"/>
        <v>ene</v>
      </c>
      <c r="C377" s="7"/>
    </row>
    <row r="378" spans="1:3" x14ac:dyDescent="0.25">
      <c r="A378" s="3" t="str">
        <f t="shared" si="11"/>
        <v>ene</v>
      </c>
      <c r="C378" s="7"/>
    </row>
    <row r="379" spans="1:3" x14ac:dyDescent="0.25">
      <c r="A379" s="3" t="str">
        <f t="shared" si="11"/>
        <v>ene</v>
      </c>
      <c r="C379" s="7"/>
    </row>
    <row r="380" spans="1:3" x14ac:dyDescent="0.25">
      <c r="A380" s="3" t="str">
        <f t="shared" si="11"/>
        <v>ene</v>
      </c>
      <c r="C380" s="7"/>
    </row>
    <row r="381" spans="1:3" x14ac:dyDescent="0.25">
      <c r="A381" s="3" t="str">
        <f t="shared" si="11"/>
        <v>ene</v>
      </c>
      <c r="C381" s="7"/>
    </row>
    <row r="382" spans="1:3" x14ac:dyDescent="0.25">
      <c r="A382" s="3" t="str">
        <f t="shared" si="11"/>
        <v>ene</v>
      </c>
      <c r="C382" s="7"/>
    </row>
    <row r="383" spans="1:3" x14ac:dyDescent="0.25">
      <c r="A383" s="3" t="str">
        <f t="shared" si="11"/>
        <v>ene</v>
      </c>
      <c r="C383" s="7"/>
    </row>
    <row r="384" spans="1:3" x14ac:dyDescent="0.25">
      <c r="A384" s="3" t="str">
        <f t="shared" si="11"/>
        <v>ene</v>
      </c>
      <c r="C384" s="7"/>
    </row>
    <row r="385" spans="1:3" x14ac:dyDescent="0.25">
      <c r="A385" s="3" t="str">
        <f t="shared" si="11"/>
        <v>ene</v>
      </c>
      <c r="C385" s="7"/>
    </row>
    <row r="386" spans="1:3" x14ac:dyDescent="0.25">
      <c r="A386" s="3" t="str">
        <f t="shared" si="11"/>
        <v>ene</v>
      </c>
      <c r="C386" s="7"/>
    </row>
    <row r="387" spans="1:3" x14ac:dyDescent="0.25">
      <c r="A387" s="3" t="str">
        <f t="shared" si="11"/>
        <v>ene</v>
      </c>
      <c r="C387" s="7"/>
    </row>
    <row r="388" spans="1:3" x14ac:dyDescent="0.25">
      <c r="A388" s="3" t="str">
        <f t="shared" si="11"/>
        <v>ene</v>
      </c>
      <c r="C388" s="7"/>
    </row>
    <row r="389" spans="1:3" x14ac:dyDescent="0.25">
      <c r="A389" s="3" t="str">
        <f t="shared" si="11"/>
        <v>ene</v>
      </c>
      <c r="C389" s="7"/>
    </row>
    <row r="390" spans="1:3" x14ac:dyDescent="0.25">
      <c r="A390" s="3" t="str">
        <f t="shared" ref="A390:A453" si="12">TEXT($D390,"mmm")</f>
        <v>ene</v>
      </c>
      <c r="C390" s="7"/>
    </row>
    <row r="391" spans="1:3" x14ac:dyDescent="0.25">
      <c r="A391" s="3" t="str">
        <f t="shared" si="12"/>
        <v>ene</v>
      </c>
      <c r="C391" s="7"/>
    </row>
    <row r="392" spans="1:3" x14ac:dyDescent="0.25">
      <c r="A392" s="3" t="str">
        <f t="shared" si="12"/>
        <v>ene</v>
      </c>
      <c r="C392" s="7"/>
    </row>
    <row r="393" spans="1:3" x14ac:dyDescent="0.25">
      <c r="A393" s="3" t="str">
        <f t="shared" si="12"/>
        <v>ene</v>
      </c>
      <c r="C393" s="7"/>
    </row>
    <row r="394" spans="1:3" x14ac:dyDescent="0.25">
      <c r="A394" s="3" t="str">
        <f t="shared" si="12"/>
        <v>ene</v>
      </c>
      <c r="C394" s="7"/>
    </row>
    <row r="395" spans="1:3" x14ac:dyDescent="0.25">
      <c r="A395" s="3" t="str">
        <f t="shared" si="12"/>
        <v>ene</v>
      </c>
      <c r="C395" s="7"/>
    </row>
    <row r="396" spans="1:3" x14ac:dyDescent="0.25">
      <c r="A396" s="3" t="str">
        <f t="shared" si="12"/>
        <v>ene</v>
      </c>
      <c r="C396" s="7"/>
    </row>
    <row r="397" spans="1:3" x14ac:dyDescent="0.25">
      <c r="A397" s="3" t="str">
        <f t="shared" si="12"/>
        <v>ene</v>
      </c>
      <c r="C397" s="7"/>
    </row>
    <row r="398" spans="1:3" x14ac:dyDescent="0.25">
      <c r="A398" s="3" t="str">
        <f t="shared" si="12"/>
        <v>ene</v>
      </c>
      <c r="C398" s="7"/>
    </row>
    <row r="399" spans="1:3" x14ac:dyDescent="0.25">
      <c r="A399" s="3" t="str">
        <f t="shared" si="12"/>
        <v>ene</v>
      </c>
      <c r="C399" s="7"/>
    </row>
    <row r="400" spans="1:3" x14ac:dyDescent="0.25">
      <c r="A400" s="3" t="str">
        <f t="shared" si="12"/>
        <v>ene</v>
      </c>
      <c r="C400" s="7"/>
    </row>
    <row r="401" spans="1:3" x14ac:dyDescent="0.25">
      <c r="A401" s="3" t="str">
        <f t="shared" si="12"/>
        <v>ene</v>
      </c>
      <c r="C401" s="7"/>
    </row>
    <row r="402" spans="1:3" x14ac:dyDescent="0.25">
      <c r="A402" s="3" t="str">
        <f t="shared" si="12"/>
        <v>ene</v>
      </c>
      <c r="C402" s="7"/>
    </row>
    <row r="403" spans="1:3" x14ac:dyDescent="0.25">
      <c r="A403" s="3" t="str">
        <f t="shared" si="12"/>
        <v>ene</v>
      </c>
      <c r="C403" s="7"/>
    </row>
    <row r="404" spans="1:3" x14ac:dyDescent="0.25">
      <c r="A404" s="3" t="str">
        <f t="shared" si="12"/>
        <v>ene</v>
      </c>
      <c r="C404" s="7"/>
    </row>
    <row r="405" spans="1:3" x14ac:dyDescent="0.25">
      <c r="A405" s="3" t="str">
        <f t="shared" si="12"/>
        <v>ene</v>
      </c>
      <c r="C405" s="7"/>
    </row>
    <row r="406" spans="1:3" x14ac:dyDescent="0.25">
      <c r="A406" s="3" t="str">
        <f t="shared" si="12"/>
        <v>ene</v>
      </c>
      <c r="C406" s="7"/>
    </row>
    <row r="407" spans="1:3" x14ac:dyDescent="0.25">
      <c r="A407" s="3" t="str">
        <f t="shared" si="12"/>
        <v>ene</v>
      </c>
      <c r="C407" s="7"/>
    </row>
    <row r="408" spans="1:3" x14ac:dyDescent="0.25">
      <c r="A408" s="3" t="str">
        <f t="shared" si="12"/>
        <v>ene</v>
      </c>
      <c r="C408" s="7"/>
    </row>
    <row r="409" spans="1:3" x14ac:dyDescent="0.25">
      <c r="A409" s="3" t="str">
        <f t="shared" si="12"/>
        <v>ene</v>
      </c>
      <c r="C409" s="7"/>
    </row>
    <row r="410" spans="1:3" x14ac:dyDescent="0.25">
      <c r="A410" s="3" t="str">
        <f t="shared" si="12"/>
        <v>ene</v>
      </c>
      <c r="C410" s="7"/>
    </row>
    <row r="411" spans="1:3" x14ac:dyDescent="0.25">
      <c r="A411" s="3" t="str">
        <f t="shared" si="12"/>
        <v>ene</v>
      </c>
      <c r="C411" s="7"/>
    </row>
    <row r="412" spans="1:3" x14ac:dyDescent="0.25">
      <c r="A412" s="3" t="str">
        <f t="shared" si="12"/>
        <v>ene</v>
      </c>
      <c r="C412" s="7"/>
    </row>
    <row r="413" spans="1:3" x14ac:dyDescent="0.25">
      <c r="A413" s="3" t="str">
        <f t="shared" si="12"/>
        <v>ene</v>
      </c>
      <c r="C413" s="7"/>
    </row>
    <row r="414" spans="1:3" x14ac:dyDescent="0.25">
      <c r="A414" s="3" t="str">
        <f t="shared" si="12"/>
        <v>ene</v>
      </c>
      <c r="C414" s="7"/>
    </row>
    <row r="415" spans="1:3" x14ac:dyDescent="0.25">
      <c r="A415" s="3" t="str">
        <f t="shared" si="12"/>
        <v>ene</v>
      </c>
      <c r="C415" s="7"/>
    </row>
    <row r="416" spans="1:3" x14ac:dyDescent="0.25">
      <c r="A416" s="3" t="str">
        <f t="shared" si="12"/>
        <v>ene</v>
      </c>
      <c r="C416" s="7"/>
    </row>
    <row r="417" spans="1:3" x14ac:dyDescent="0.25">
      <c r="A417" s="3" t="str">
        <f t="shared" si="12"/>
        <v>ene</v>
      </c>
      <c r="C417" s="7"/>
    </row>
    <row r="418" spans="1:3" x14ac:dyDescent="0.25">
      <c r="A418" s="3" t="str">
        <f t="shared" si="12"/>
        <v>ene</v>
      </c>
      <c r="C418" s="7"/>
    </row>
    <row r="419" spans="1:3" x14ac:dyDescent="0.25">
      <c r="A419" s="3" t="str">
        <f t="shared" si="12"/>
        <v>ene</v>
      </c>
      <c r="C419" s="7"/>
    </row>
    <row r="420" spans="1:3" x14ac:dyDescent="0.25">
      <c r="A420" s="3" t="str">
        <f t="shared" si="12"/>
        <v>ene</v>
      </c>
      <c r="C420" s="7"/>
    </row>
    <row r="421" spans="1:3" x14ac:dyDescent="0.25">
      <c r="A421" s="3" t="str">
        <f t="shared" si="12"/>
        <v>ene</v>
      </c>
      <c r="C421" s="7"/>
    </row>
    <row r="422" spans="1:3" x14ac:dyDescent="0.25">
      <c r="A422" s="3" t="str">
        <f t="shared" si="12"/>
        <v>ene</v>
      </c>
      <c r="C422" s="7"/>
    </row>
    <row r="423" spans="1:3" x14ac:dyDescent="0.25">
      <c r="A423" s="3" t="str">
        <f t="shared" si="12"/>
        <v>ene</v>
      </c>
      <c r="C423" s="7"/>
    </row>
    <row r="424" spans="1:3" x14ac:dyDescent="0.25">
      <c r="A424" s="3" t="str">
        <f t="shared" si="12"/>
        <v>ene</v>
      </c>
      <c r="C424" s="7"/>
    </row>
    <row r="425" spans="1:3" x14ac:dyDescent="0.25">
      <c r="A425" s="3" t="str">
        <f t="shared" si="12"/>
        <v>ene</v>
      </c>
      <c r="C425" s="7"/>
    </row>
    <row r="426" spans="1:3" x14ac:dyDescent="0.25">
      <c r="A426" s="3" t="str">
        <f t="shared" si="12"/>
        <v>ene</v>
      </c>
      <c r="C426" s="7"/>
    </row>
    <row r="427" spans="1:3" x14ac:dyDescent="0.25">
      <c r="A427" s="3" t="str">
        <f t="shared" si="12"/>
        <v>ene</v>
      </c>
      <c r="C427" s="7"/>
    </row>
    <row r="428" spans="1:3" x14ac:dyDescent="0.25">
      <c r="A428" s="3" t="str">
        <f t="shared" si="12"/>
        <v>ene</v>
      </c>
      <c r="C428" s="7"/>
    </row>
    <row r="429" spans="1:3" x14ac:dyDescent="0.25">
      <c r="A429" s="3" t="str">
        <f t="shared" si="12"/>
        <v>ene</v>
      </c>
      <c r="C429" s="7"/>
    </row>
    <row r="430" spans="1:3" x14ac:dyDescent="0.25">
      <c r="A430" s="3" t="str">
        <f t="shared" si="12"/>
        <v>ene</v>
      </c>
      <c r="C430" s="7"/>
    </row>
    <row r="431" spans="1:3" x14ac:dyDescent="0.25">
      <c r="A431" s="3" t="str">
        <f t="shared" si="12"/>
        <v>ene</v>
      </c>
      <c r="C431" s="7"/>
    </row>
    <row r="432" spans="1:3" x14ac:dyDescent="0.25">
      <c r="A432" s="3" t="str">
        <f t="shared" si="12"/>
        <v>ene</v>
      </c>
      <c r="C432" s="7"/>
    </row>
    <row r="433" spans="1:3" x14ac:dyDescent="0.25">
      <c r="A433" s="3" t="str">
        <f t="shared" si="12"/>
        <v>ene</v>
      </c>
      <c r="C433" s="7"/>
    </row>
    <row r="434" spans="1:3" x14ac:dyDescent="0.25">
      <c r="A434" s="3" t="str">
        <f t="shared" si="12"/>
        <v>ene</v>
      </c>
      <c r="C434" s="7"/>
    </row>
    <row r="435" spans="1:3" x14ac:dyDescent="0.25">
      <c r="A435" s="3" t="str">
        <f t="shared" si="12"/>
        <v>ene</v>
      </c>
      <c r="C435" s="7"/>
    </row>
    <row r="436" spans="1:3" x14ac:dyDescent="0.25">
      <c r="A436" s="3" t="str">
        <f t="shared" si="12"/>
        <v>ene</v>
      </c>
      <c r="C436" s="7"/>
    </row>
    <row r="437" spans="1:3" x14ac:dyDescent="0.25">
      <c r="A437" s="3" t="str">
        <f t="shared" si="12"/>
        <v>ene</v>
      </c>
      <c r="C437" s="7"/>
    </row>
    <row r="438" spans="1:3" x14ac:dyDescent="0.25">
      <c r="A438" s="3" t="str">
        <f t="shared" si="12"/>
        <v>ene</v>
      </c>
      <c r="C438" s="7"/>
    </row>
    <row r="439" spans="1:3" x14ac:dyDescent="0.25">
      <c r="A439" s="3" t="str">
        <f t="shared" si="12"/>
        <v>ene</v>
      </c>
      <c r="C439" s="7"/>
    </row>
    <row r="440" spans="1:3" x14ac:dyDescent="0.25">
      <c r="A440" s="3" t="str">
        <f t="shared" si="12"/>
        <v>ene</v>
      </c>
      <c r="C440" s="7"/>
    </row>
    <row r="441" spans="1:3" x14ac:dyDescent="0.25">
      <c r="A441" s="3" t="str">
        <f t="shared" si="12"/>
        <v>ene</v>
      </c>
      <c r="C441" s="7"/>
    </row>
    <row r="442" spans="1:3" x14ac:dyDescent="0.25">
      <c r="A442" s="3" t="str">
        <f t="shared" si="12"/>
        <v>ene</v>
      </c>
      <c r="C442" s="7"/>
    </row>
    <row r="443" spans="1:3" x14ac:dyDescent="0.25">
      <c r="A443" s="3" t="str">
        <f t="shared" si="12"/>
        <v>ene</v>
      </c>
      <c r="C443" s="7"/>
    </row>
    <row r="444" spans="1:3" x14ac:dyDescent="0.25">
      <c r="A444" s="3" t="str">
        <f t="shared" si="12"/>
        <v>ene</v>
      </c>
      <c r="C444" s="7"/>
    </row>
    <row r="445" spans="1:3" x14ac:dyDescent="0.25">
      <c r="A445" s="3" t="str">
        <f t="shared" si="12"/>
        <v>ene</v>
      </c>
      <c r="C445" s="7"/>
    </row>
    <row r="446" spans="1:3" x14ac:dyDescent="0.25">
      <c r="A446" s="3" t="str">
        <f t="shared" si="12"/>
        <v>ene</v>
      </c>
      <c r="C446" s="7"/>
    </row>
    <row r="447" spans="1:3" x14ac:dyDescent="0.25">
      <c r="A447" s="3" t="str">
        <f t="shared" si="12"/>
        <v>ene</v>
      </c>
      <c r="C447" s="7"/>
    </row>
    <row r="448" spans="1:3" x14ac:dyDescent="0.25">
      <c r="A448" s="3" t="str">
        <f t="shared" si="12"/>
        <v>ene</v>
      </c>
      <c r="C448" s="7"/>
    </row>
    <row r="449" spans="1:3" x14ac:dyDescent="0.25">
      <c r="A449" s="3" t="str">
        <f t="shared" si="12"/>
        <v>ene</v>
      </c>
      <c r="C449" s="7"/>
    </row>
    <row r="450" spans="1:3" x14ac:dyDescent="0.25">
      <c r="A450" s="3" t="str">
        <f t="shared" si="12"/>
        <v>ene</v>
      </c>
      <c r="C450" s="7"/>
    </row>
    <row r="451" spans="1:3" x14ac:dyDescent="0.25">
      <c r="A451" s="3" t="str">
        <f t="shared" si="12"/>
        <v>ene</v>
      </c>
      <c r="C451" s="7"/>
    </row>
    <row r="452" spans="1:3" x14ac:dyDescent="0.25">
      <c r="A452" s="3" t="str">
        <f t="shared" si="12"/>
        <v>ene</v>
      </c>
      <c r="C452" s="7"/>
    </row>
    <row r="453" spans="1:3" x14ac:dyDescent="0.25">
      <c r="A453" s="3" t="str">
        <f t="shared" si="12"/>
        <v>ene</v>
      </c>
      <c r="C453" s="7"/>
    </row>
    <row r="454" spans="1:3" x14ac:dyDescent="0.25">
      <c r="A454" s="3" t="str">
        <f t="shared" ref="A454:A457" si="13">TEXT($D454,"mmm")</f>
        <v>ene</v>
      </c>
      <c r="C454" s="7"/>
    </row>
    <row r="455" spans="1:3" x14ac:dyDescent="0.25">
      <c r="A455" s="3" t="str">
        <f t="shared" si="13"/>
        <v>ene</v>
      </c>
      <c r="C455" s="7"/>
    </row>
    <row r="456" spans="1:3" x14ac:dyDescent="0.25">
      <c r="A456" s="3" t="str">
        <f t="shared" si="13"/>
        <v>ene</v>
      </c>
      <c r="C456" s="7"/>
    </row>
    <row r="457" spans="1:3" x14ac:dyDescent="0.25">
      <c r="A457" s="3" t="str">
        <f t="shared" si="13"/>
        <v>ene</v>
      </c>
      <c r="C457" s="7"/>
    </row>
  </sheetData>
  <mergeCells count="2">
    <mergeCell ref="B1:H1"/>
    <mergeCell ref="J1:P1"/>
  </mergeCells>
  <conditionalFormatting sqref="L3:L157">
    <cfRule type="cellIs" dxfId="35" priority="19" operator="equal">
      <formula>"AL DIA (MENOS 10 DIAS)"</formula>
    </cfRule>
    <cfRule type="cellIs" dxfId="34" priority="20" operator="equal">
      <formula>"POR REALIZAR(ALERTA)"</formula>
    </cfRule>
    <cfRule type="cellIs" dxfId="33" priority="21" operator="equal">
      <formula>"POR REALIAR(ALERTA)"</formula>
    </cfRule>
    <cfRule type="cellIs" dxfId="32" priority="22" operator="equal">
      <formula>"CRITICO(MAS 30 DIAS)"</formula>
    </cfRule>
    <cfRule type="cellIs" dxfId="31" priority="23" operator="equal">
      <formula>"POR REALIZAR (ALERTA)"</formula>
    </cfRule>
    <cfRule type="cellIs" dxfId="30" priority="24" operator="equal">
      <formula>$M$4</formula>
    </cfRule>
    <cfRule type="cellIs" dxfId="29" priority="25" operator="equal">
      <formula>$M$3</formula>
    </cfRule>
    <cfRule type="cellIs" dxfId="28" priority="26" operator="equal">
      <formula>"INVENTARIADO"</formula>
    </cfRule>
    <cfRule type="cellIs" dxfId="27" priority="27" operator="equal">
      <formula>"PENDIENTE"</formula>
    </cfRule>
  </conditionalFormatting>
  <conditionalFormatting sqref="O2:P2">
    <cfRule type="cellIs" dxfId="26" priority="1" operator="equal">
      <formula>"AL DIA (MENOS 10 DIAS)"</formula>
    </cfRule>
    <cfRule type="cellIs" dxfId="25" priority="2" operator="equal">
      <formula>"POR REALIZAR(ALERTA)"</formula>
    </cfRule>
    <cfRule type="cellIs" dxfId="24" priority="3" operator="equal">
      <formula>"POR REALIAR(ALERTA)"</formula>
    </cfRule>
    <cfRule type="cellIs" dxfId="23" priority="4" operator="equal">
      <formula>"CRITICO(MAS 30 DIAS)"</formula>
    </cfRule>
    <cfRule type="cellIs" dxfId="22" priority="5" operator="equal">
      <formula>"POR REALIZAR (ALERTA)"</formula>
    </cfRule>
    <cfRule type="cellIs" dxfId="21" priority="6" operator="equal">
      <formula>$K$4</formula>
    </cfRule>
    <cfRule type="cellIs" dxfId="20" priority="7" operator="equal">
      <formula>$K$3</formula>
    </cfRule>
    <cfRule type="cellIs" dxfId="19" priority="8" operator="equal">
      <formula>"INVENTARIADO"</formula>
    </cfRule>
    <cfRule type="cellIs" dxfId="18" priority="9" operator="equal">
      <formula>"PENDIENTE"</formula>
    </cfRule>
  </conditionalFormatting>
  <dataValidations count="2">
    <dataValidation type="list" allowBlank="1" showInputMessage="1" showErrorMessage="1" sqref="B3:B1048576" xr:uid="{00000000-0002-0000-0400-000000000000}">
      <formula1>$J$3:$J$157</formula1>
    </dataValidation>
    <dataValidation type="list" allowBlank="1" showInputMessage="1" showErrorMessage="1" sqref="G3:G1048576" xr:uid="{00000000-0002-0000-0400-000001000000}">
      <formula1>$Q$2:$Q$6</formula1>
    </dataValidation>
  </dataValidation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57"/>
  <sheetViews>
    <sheetView topLeftCell="B1" workbookViewId="0">
      <selection activeCell="G12" sqref="G12"/>
    </sheetView>
  </sheetViews>
  <sheetFormatPr baseColWidth="10" defaultRowHeight="15" x14ac:dyDescent="0.25"/>
  <cols>
    <col min="1" max="1" width="0" hidden="1" customWidth="1"/>
    <col min="2" max="2" width="22.85546875" style="7" customWidth="1"/>
    <col min="3" max="3" width="17.85546875" customWidth="1"/>
    <col min="4" max="4" width="22.140625" style="45" bestFit="1" customWidth="1"/>
    <col min="5" max="5" width="11.85546875" style="7" bestFit="1" customWidth="1"/>
    <col min="6" max="6" width="14.5703125" style="7" customWidth="1"/>
    <col min="7" max="7" width="25" style="7" customWidth="1"/>
    <col min="8" max="8" width="16.85546875" bestFit="1" customWidth="1"/>
    <col min="9" max="9" width="6.5703125" style="22" customWidth="1"/>
    <col min="10" max="10" width="35.140625" style="7" bestFit="1" customWidth="1"/>
    <col min="11" max="11" width="11.85546875" bestFit="1" customWidth="1"/>
    <col min="12" max="12" width="29.140625" customWidth="1"/>
    <col min="14" max="14" width="17.5703125" bestFit="1" customWidth="1"/>
    <col min="15" max="15" width="24.5703125" bestFit="1" customWidth="1"/>
    <col min="16" max="16" width="27.140625" bestFit="1" customWidth="1"/>
    <col min="17" max="17" width="21.5703125" style="8" bestFit="1" customWidth="1"/>
    <col min="18" max="18" width="20.85546875" bestFit="1" customWidth="1"/>
  </cols>
  <sheetData>
    <row r="1" spans="1:17" ht="28.5" x14ac:dyDescent="0.45">
      <c r="A1" s="32"/>
      <c r="B1" s="50" t="s">
        <v>608</v>
      </c>
      <c r="C1" s="50"/>
      <c r="D1" s="50"/>
      <c r="E1" s="50"/>
      <c r="F1" s="50"/>
      <c r="G1" s="50"/>
      <c r="H1" s="50"/>
      <c r="J1" s="50" t="s">
        <v>609</v>
      </c>
      <c r="K1" s="50"/>
      <c r="L1" s="50"/>
      <c r="M1" s="50"/>
      <c r="N1" s="50"/>
      <c r="O1" s="50"/>
      <c r="P1" s="50"/>
      <c r="Q1" s="33" t="s">
        <v>610</v>
      </c>
    </row>
    <row r="2" spans="1:17" x14ac:dyDescent="0.25">
      <c r="A2" s="23" t="s">
        <v>645</v>
      </c>
      <c r="B2" s="1" t="s">
        <v>0</v>
      </c>
      <c r="C2" s="1" t="s">
        <v>635</v>
      </c>
      <c r="D2" s="13" t="s">
        <v>212</v>
      </c>
      <c r="E2" s="1" t="s">
        <v>214</v>
      </c>
      <c r="F2" s="1" t="s">
        <v>215</v>
      </c>
      <c r="G2" s="1" t="s">
        <v>1</v>
      </c>
      <c r="H2" s="1" t="s">
        <v>213</v>
      </c>
      <c r="J2" s="13" t="s">
        <v>604</v>
      </c>
      <c r="K2" s="13" t="s">
        <v>603</v>
      </c>
      <c r="L2" s="13" t="s">
        <v>602</v>
      </c>
      <c r="N2" s="18" t="s">
        <v>605</v>
      </c>
      <c r="O2" s="6" t="s">
        <v>607</v>
      </c>
      <c r="P2" s="38" t="s">
        <v>606</v>
      </c>
      <c r="Q2" s="37" t="s">
        <v>621</v>
      </c>
    </row>
    <row r="3" spans="1:17" x14ac:dyDescent="0.25">
      <c r="A3" s="3" t="str">
        <f>TEXT($D3,"mmm")</f>
        <v>oct</v>
      </c>
      <c r="B3" s="3" t="s">
        <v>200</v>
      </c>
      <c r="C3" s="6">
        <v>5</v>
      </c>
      <c r="D3" s="17">
        <v>46298</v>
      </c>
      <c r="E3" s="3"/>
      <c r="F3" s="3"/>
      <c r="G3" s="3" t="s">
        <v>622</v>
      </c>
      <c r="H3" s="4"/>
      <c r="J3" s="3" t="s">
        <v>65</v>
      </c>
      <c r="K3" s="14"/>
      <c r="L3" s="3" t="str">
        <f ca="1">IF(OR(K3="",K3=0),"CRITICO(MAS 30 DIAS)",IF(TODAY()-K3&gt;=30,"CRITICO(MAS 30 DIAS)",IF(TODAY()-K3&gt;=15,"POR REALIZAR(ALERTA)","AL DIA (MENOS 10 DIAS)")))</f>
        <v>CRITICO(MAS 30 DIAS)</v>
      </c>
      <c r="N3" s="21">
        <f ca="1">+COUNTIF(L3:L189,N2)</f>
        <v>4</v>
      </c>
      <c r="O3" s="20">
        <f ca="1">+COUNTIF(L3:L189,O2)</f>
        <v>6</v>
      </c>
      <c r="P3" s="35">
        <f ca="1">+COUNTIF(L3:L189,P2)</f>
        <v>44</v>
      </c>
      <c r="Q3" s="37" t="s">
        <v>619</v>
      </c>
    </row>
    <row r="4" spans="1:17" x14ac:dyDescent="0.25">
      <c r="A4" s="3" t="str">
        <f>TEXT($D4,"mmm")</f>
        <v>oct</v>
      </c>
      <c r="B4" s="3" t="s">
        <v>199</v>
      </c>
      <c r="C4" s="3">
        <v>4</v>
      </c>
      <c r="D4" s="17">
        <v>46298</v>
      </c>
      <c r="E4" s="3"/>
      <c r="F4" s="3"/>
      <c r="G4" s="3" t="s">
        <v>622</v>
      </c>
      <c r="H4" s="4"/>
      <c r="J4" s="3" t="s">
        <v>185</v>
      </c>
      <c r="K4" s="14" t="str">
        <f t="shared" ref="K4:K56" si="0">IFERROR(LOOKUP(2,1/($B$3:$B$1001=J4),$D$3:$D$1001),"")</f>
        <v/>
      </c>
      <c r="L4" s="3" t="str">
        <f t="shared" ref="L4:L56" ca="1" si="1">IF(OR(K4="",K4=0),"CRITICO(MAS 30 DIAS)",IF(TODAY()-K4&gt;=30,"CRITICO(MAS 30 DIAS)",IF(TODAY()-K4&gt;=15,"POR REALIZAR(ALERTA)","AL DIA (MENOS 10 DIAS)")))</f>
        <v>CRITICO(MAS 30 DIAS)</v>
      </c>
      <c r="Q4" s="37" t="s">
        <v>623</v>
      </c>
    </row>
    <row r="5" spans="1:17" x14ac:dyDescent="0.25">
      <c r="A5" s="3" t="str">
        <f>TEXT($D5,"mmm")</f>
        <v>oct</v>
      </c>
      <c r="B5" s="3" t="s">
        <v>205</v>
      </c>
      <c r="C5" s="3">
        <v>1</v>
      </c>
      <c r="D5" s="17">
        <v>46298</v>
      </c>
      <c r="E5" s="3"/>
      <c r="F5" s="3"/>
      <c r="G5" s="3" t="s">
        <v>622</v>
      </c>
      <c r="H5" s="4"/>
      <c r="J5" s="3" t="s">
        <v>186</v>
      </c>
      <c r="K5" s="14">
        <f t="shared" si="0"/>
        <v>46311</v>
      </c>
      <c r="L5" s="3" t="str">
        <f t="shared" ca="1" si="1"/>
        <v>AL DIA (MENOS 10 DIAS)</v>
      </c>
      <c r="Q5" s="37" t="s">
        <v>627</v>
      </c>
    </row>
    <row r="6" spans="1:17" x14ac:dyDescent="0.25">
      <c r="A6" s="3" t="str">
        <f t="shared" ref="A6:A69" si="2">TEXT($D6,"mmm")</f>
        <v>oct</v>
      </c>
      <c r="B6" s="3" t="s">
        <v>189</v>
      </c>
      <c r="C6" s="3">
        <v>92</v>
      </c>
      <c r="D6" s="17">
        <v>46298</v>
      </c>
      <c r="E6" s="3"/>
      <c r="F6" s="3"/>
      <c r="G6" s="3" t="s">
        <v>622</v>
      </c>
      <c r="H6" s="4"/>
      <c r="J6" s="3" t="s">
        <v>187</v>
      </c>
      <c r="K6" s="14" t="str">
        <f t="shared" si="0"/>
        <v/>
      </c>
      <c r="L6" s="3" t="str">
        <f t="shared" ca="1" si="1"/>
        <v>CRITICO(MAS 30 DIAS)</v>
      </c>
      <c r="Q6" s="37" t="s">
        <v>622</v>
      </c>
    </row>
    <row r="7" spans="1:17" x14ac:dyDescent="0.25">
      <c r="A7" s="3" t="str">
        <f t="shared" si="2"/>
        <v>oct</v>
      </c>
      <c r="B7" s="3" t="s">
        <v>192</v>
      </c>
      <c r="C7" s="3">
        <v>410</v>
      </c>
      <c r="D7" s="17">
        <v>46298</v>
      </c>
      <c r="E7" s="3"/>
      <c r="F7" s="3"/>
      <c r="G7" s="3" t="s">
        <v>622</v>
      </c>
      <c r="H7" s="4"/>
      <c r="J7" s="3" t="s">
        <v>17</v>
      </c>
      <c r="K7" s="14" t="str">
        <f t="shared" si="0"/>
        <v/>
      </c>
      <c r="L7" s="3" t="str">
        <f t="shared" ca="1" si="1"/>
        <v>CRITICO(MAS 30 DIAS)</v>
      </c>
      <c r="Q7" s="37" t="s">
        <v>628</v>
      </c>
    </row>
    <row r="8" spans="1:17" x14ac:dyDescent="0.25">
      <c r="A8" s="3" t="str">
        <f t="shared" si="2"/>
        <v>oct</v>
      </c>
      <c r="B8" s="3" t="s">
        <v>12</v>
      </c>
      <c r="C8" s="48">
        <v>8806000</v>
      </c>
      <c r="D8" s="17">
        <v>46303</v>
      </c>
      <c r="E8" s="3"/>
      <c r="F8" s="3"/>
      <c r="G8" s="3" t="s">
        <v>622</v>
      </c>
      <c r="H8" s="4"/>
      <c r="J8" s="3" t="s">
        <v>188</v>
      </c>
      <c r="K8" s="14" t="str">
        <f t="shared" si="0"/>
        <v/>
      </c>
      <c r="L8" s="3" t="str">
        <f t="shared" ca="1" si="1"/>
        <v>CRITICO(MAS 30 DIAS)</v>
      </c>
    </row>
    <row r="9" spans="1:17" x14ac:dyDescent="0.25">
      <c r="A9" s="3" t="str">
        <f t="shared" si="2"/>
        <v>oct</v>
      </c>
      <c r="B9" s="3" t="s">
        <v>89</v>
      </c>
      <c r="C9" s="48">
        <v>1246000</v>
      </c>
      <c r="D9" s="17">
        <v>46301</v>
      </c>
      <c r="E9" s="3"/>
      <c r="F9" s="3"/>
      <c r="G9" s="3" t="s">
        <v>622</v>
      </c>
      <c r="H9" s="4"/>
      <c r="J9" s="3" t="s">
        <v>189</v>
      </c>
      <c r="K9" s="14">
        <f t="shared" si="0"/>
        <v>46298</v>
      </c>
      <c r="L9" s="3" t="str">
        <f t="shared" ca="1" si="1"/>
        <v>POR REALIZAR(ALERTA)</v>
      </c>
    </row>
    <row r="10" spans="1:17" x14ac:dyDescent="0.25">
      <c r="A10" s="3" t="str">
        <f t="shared" si="2"/>
        <v>oct</v>
      </c>
      <c r="B10" s="3" t="s">
        <v>48</v>
      </c>
      <c r="C10" s="48">
        <v>4289000</v>
      </c>
      <c r="D10" s="17">
        <v>46296</v>
      </c>
      <c r="E10" s="3"/>
      <c r="F10" s="3"/>
      <c r="G10" s="3" t="s">
        <v>622</v>
      </c>
      <c r="H10" s="4"/>
      <c r="J10" s="3" t="s">
        <v>190</v>
      </c>
      <c r="K10" s="14" t="str">
        <f t="shared" si="0"/>
        <v/>
      </c>
      <c r="L10" s="3" t="str">
        <f t="shared" ca="1" si="1"/>
        <v>CRITICO(MAS 30 DIAS)</v>
      </c>
    </row>
    <row r="11" spans="1:17" x14ac:dyDescent="0.25">
      <c r="A11" s="3" t="str">
        <f t="shared" si="2"/>
        <v>oct</v>
      </c>
      <c r="B11" s="3" t="s">
        <v>186</v>
      </c>
      <c r="C11" s="3">
        <v>828</v>
      </c>
      <c r="D11" s="17">
        <v>46311</v>
      </c>
      <c r="E11" s="3">
        <v>8</v>
      </c>
      <c r="F11" s="3">
        <v>3</v>
      </c>
      <c r="G11" s="3" t="s">
        <v>622</v>
      </c>
      <c r="H11" s="4"/>
      <c r="J11" s="3" t="s">
        <v>191</v>
      </c>
      <c r="K11" s="14" t="str">
        <f t="shared" si="0"/>
        <v/>
      </c>
      <c r="L11" s="3" t="str">
        <f t="shared" ca="1" si="1"/>
        <v>CRITICO(MAS 30 DIAS)</v>
      </c>
    </row>
    <row r="12" spans="1:17" x14ac:dyDescent="0.25">
      <c r="A12" s="3" t="str">
        <f t="shared" si="2"/>
        <v>oct</v>
      </c>
      <c r="B12" s="3" t="s">
        <v>121</v>
      </c>
      <c r="C12" s="3">
        <v>1047</v>
      </c>
      <c r="D12" s="17">
        <v>46311</v>
      </c>
      <c r="E12" s="3">
        <v>2</v>
      </c>
      <c r="F12" s="3">
        <v>1</v>
      </c>
      <c r="G12" s="3" t="s">
        <v>622</v>
      </c>
      <c r="H12" s="4"/>
      <c r="J12" s="3" t="s">
        <v>192</v>
      </c>
      <c r="K12" s="14">
        <f t="shared" si="0"/>
        <v>46298</v>
      </c>
      <c r="L12" s="3" t="str">
        <f t="shared" ca="1" si="1"/>
        <v>POR REALIZAR(ALERTA)</v>
      </c>
    </row>
    <row r="13" spans="1:17" x14ac:dyDescent="0.25">
      <c r="A13" s="3" t="str">
        <f t="shared" si="2"/>
        <v>ene</v>
      </c>
      <c r="B13" s="3"/>
      <c r="C13" s="3"/>
      <c r="D13" s="17"/>
      <c r="E13" s="3"/>
      <c r="F13" s="3"/>
      <c r="G13" s="3"/>
      <c r="H13" s="4"/>
      <c r="J13" s="3" t="s">
        <v>19</v>
      </c>
      <c r="K13" s="14" t="str">
        <f t="shared" si="0"/>
        <v/>
      </c>
      <c r="L13" s="3" t="str">
        <f t="shared" ca="1" si="1"/>
        <v>CRITICO(MAS 30 DIAS)</v>
      </c>
    </row>
    <row r="14" spans="1:17" x14ac:dyDescent="0.25">
      <c r="A14" s="3" t="str">
        <f t="shared" si="2"/>
        <v>ene</v>
      </c>
      <c r="B14" s="3"/>
      <c r="C14" s="3"/>
      <c r="D14" s="17"/>
      <c r="E14" s="3"/>
      <c r="F14" s="3"/>
      <c r="G14" s="3"/>
      <c r="H14" s="4"/>
      <c r="J14" s="3" t="s">
        <v>3</v>
      </c>
      <c r="K14" s="14" t="str">
        <f t="shared" si="0"/>
        <v/>
      </c>
      <c r="L14" s="3" t="str">
        <f t="shared" ca="1" si="1"/>
        <v>CRITICO(MAS 30 DIAS)</v>
      </c>
    </row>
    <row r="15" spans="1:17" x14ac:dyDescent="0.25">
      <c r="A15" s="3" t="str">
        <f t="shared" si="2"/>
        <v>ene</v>
      </c>
      <c r="B15" s="3"/>
      <c r="C15" s="3"/>
      <c r="D15" s="17"/>
      <c r="E15" s="3"/>
      <c r="F15" s="3"/>
      <c r="G15" s="3"/>
      <c r="H15" s="4"/>
      <c r="J15" s="3" t="s">
        <v>23</v>
      </c>
      <c r="K15" s="14" t="str">
        <f t="shared" si="0"/>
        <v/>
      </c>
      <c r="L15" s="3" t="str">
        <f t="shared" ca="1" si="1"/>
        <v>CRITICO(MAS 30 DIAS)</v>
      </c>
    </row>
    <row r="16" spans="1:17" x14ac:dyDescent="0.25">
      <c r="A16" s="3" t="str">
        <f t="shared" si="2"/>
        <v>ene</v>
      </c>
      <c r="B16" s="3"/>
      <c r="C16" s="4"/>
      <c r="D16" s="17"/>
      <c r="E16" s="3"/>
      <c r="F16" s="3"/>
      <c r="G16" s="3"/>
      <c r="H16" s="4"/>
      <c r="J16" s="3" t="s">
        <v>29</v>
      </c>
      <c r="K16" s="14" t="str">
        <f t="shared" si="0"/>
        <v/>
      </c>
      <c r="L16" s="3" t="str">
        <f t="shared" ca="1" si="1"/>
        <v>CRITICO(MAS 30 DIAS)</v>
      </c>
    </row>
    <row r="17" spans="1:18" x14ac:dyDescent="0.25">
      <c r="A17" s="3" t="str">
        <f t="shared" si="2"/>
        <v>ene</v>
      </c>
      <c r="B17" s="3"/>
      <c r="C17" s="4"/>
      <c r="D17" s="17"/>
      <c r="E17" s="3"/>
      <c r="F17" s="3"/>
      <c r="G17" s="3"/>
      <c r="H17" s="4"/>
      <c r="J17" s="3" t="s">
        <v>193</v>
      </c>
      <c r="K17" s="14" t="str">
        <f t="shared" si="0"/>
        <v/>
      </c>
      <c r="L17" s="3" t="str">
        <f t="shared" ca="1" si="1"/>
        <v>CRITICO(MAS 30 DIAS)</v>
      </c>
    </row>
    <row r="18" spans="1:18" x14ac:dyDescent="0.25">
      <c r="A18" s="3" t="str">
        <f t="shared" si="2"/>
        <v>ene</v>
      </c>
      <c r="B18" s="3"/>
      <c r="C18" s="4"/>
      <c r="D18" s="17"/>
      <c r="E18" s="3"/>
      <c r="F18" s="3"/>
      <c r="G18" s="3"/>
      <c r="H18" s="4"/>
      <c r="J18" s="3" t="s">
        <v>194</v>
      </c>
      <c r="K18" s="14" t="str">
        <f t="shared" si="0"/>
        <v/>
      </c>
      <c r="L18" s="3" t="str">
        <f t="shared" ca="1" si="1"/>
        <v>CRITICO(MAS 30 DIAS)</v>
      </c>
    </row>
    <row r="19" spans="1:18" x14ac:dyDescent="0.25">
      <c r="A19" s="3" t="str">
        <f t="shared" si="2"/>
        <v>ene</v>
      </c>
      <c r="B19" s="3"/>
      <c r="C19" s="4"/>
      <c r="D19" s="17"/>
      <c r="E19" s="3"/>
      <c r="F19" s="3"/>
      <c r="G19" s="3"/>
      <c r="H19" s="4"/>
      <c r="J19" s="3" t="s">
        <v>89</v>
      </c>
      <c r="K19" s="14">
        <f t="shared" si="0"/>
        <v>46301</v>
      </c>
      <c r="L19" s="3" t="str">
        <f t="shared" ca="1" si="1"/>
        <v>AL DIA (MENOS 10 DIAS)</v>
      </c>
    </row>
    <row r="20" spans="1:18" x14ac:dyDescent="0.25">
      <c r="A20" s="3" t="str">
        <f t="shared" si="2"/>
        <v>ene</v>
      </c>
      <c r="B20" s="3"/>
      <c r="C20" s="4"/>
      <c r="D20" s="17"/>
      <c r="E20" s="3"/>
      <c r="F20" s="3"/>
      <c r="G20" s="3"/>
      <c r="H20" s="4"/>
      <c r="J20" s="3" t="s">
        <v>90</v>
      </c>
      <c r="K20" s="14" t="str">
        <f t="shared" si="0"/>
        <v/>
      </c>
      <c r="L20" s="3" t="str">
        <f t="shared" ca="1" si="1"/>
        <v>CRITICO(MAS 30 DIAS)</v>
      </c>
    </row>
    <row r="21" spans="1:18" x14ac:dyDescent="0.25">
      <c r="A21" s="3" t="str">
        <f t="shared" si="2"/>
        <v>ene</v>
      </c>
      <c r="B21" s="3"/>
      <c r="C21" s="4"/>
      <c r="D21" s="17"/>
      <c r="E21" s="3"/>
      <c r="F21" s="3"/>
      <c r="G21" s="3"/>
      <c r="H21" s="4"/>
      <c r="J21" s="3" t="s">
        <v>195</v>
      </c>
      <c r="K21" s="14" t="str">
        <f t="shared" si="0"/>
        <v/>
      </c>
      <c r="L21" s="3" t="str">
        <f t="shared" ca="1" si="1"/>
        <v>CRITICO(MAS 30 DIAS)</v>
      </c>
    </row>
    <row r="22" spans="1:18" x14ac:dyDescent="0.25">
      <c r="A22" s="3" t="str">
        <f t="shared" si="2"/>
        <v>ene</v>
      </c>
      <c r="B22" s="3"/>
      <c r="C22" s="4"/>
      <c r="D22" s="17"/>
      <c r="E22" s="3"/>
      <c r="F22" s="3"/>
      <c r="G22" s="3"/>
      <c r="H22" s="4"/>
      <c r="J22" s="3" t="s">
        <v>106</v>
      </c>
      <c r="K22" s="14" t="str">
        <f t="shared" si="0"/>
        <v/>
      </c>
      <c r="L22" s="3" t="str">
        <f t="shared" ca="1" si="1"/>
        <v>CRITICO(MAS 30 DIAS)</v>
      </c>
    </row>
    <row r="23" spans="1:18" x14ac:dyDescent="0.25">
      <c r="A23" s="3" t="str">
        <f t="shared" si="2"/>
        <v>ene</v>
      </c>
      <c r="B23" s="3"/>
      <c r="C23" s="4"/>
      <c r="D23" s="17"/>
      <c r="E23" s="3"/>
      <c r="F23" s="3"/>
      <c r="G23" s="3"/>
      <c r="H23" s="4"/>
      <c r="J23" s="3" t="s">
        <v>107</v>
      </c>
      <c r="K23" s="14" t="str">
        <f t="shared" si="0"/>
        <v/>
      </c>
      <c r="L23" s="3" t="str">
        <f t="shared" ca="1" si="1"/>
        <v>CRITICO(MAS 30 DIAS)</v>
      </c>
      <c r="N23" s="42" t="s">
        <v>645</v>
      </c>
      <c r="O23" t="s">
        <v>636</v>
      </c>
    </row>
    <row r="24" spans="1:18" x14ac:dyDescent="0.25">
      <c r="A24" s="3" t="str">
        <f t="shared" si="2"/>
        <v>ene</v>
      </c>
      <c r="B24" s="3"/>
      <c r="C24" s="4"/>
      <c r="D24" s="17"/>
      <c r="E24" s="3"/>
      <c r="F24" s="3"/>
      <c r="G24" s="3"/>
      <c r="H24" s="4"/>
      <c r="J24" s="3" t="s">
        <v>196</v>
      </c>
      <c r="K24" s="14" t="str">
        <f t="shared" si="0"/>
        <v/>
      </c>
      <c r="L24" s="3" t="str">
        <f t="shared" ca="1" si="1"/>
        <v>CRITICO(MAS 30 DIAS)</v>
      </c>
      <c r="N24" s="42" t="s">
        <v>0</v>
      </c>
      <c r="O24" t="s">
        <v>638</v>
      </c>
    </row>
    <row r="25" spans="1:18" x14ac:dyDescent="0.25">
      <c r="A25" s="3" t="str">
        <f t="shared" si="2"/>
        <v>ene</v>
      </c>
      <c r="B25" s="3"/>
      <c r="C25" s="4"/>
      <c r="D25" s="17"/>
      <c r="E25" s="3"/>
      <c r="F25" s="3"/>
      <c r="G25" s="3"/>
      <c r="H25" s="4"/>
      <c r="J25" s="3" t="s">
        <v>197</v>
      </c>
      <c r="K25" s="14" t="str">
        <f t="shared" si="0"/>
        <v/>
      </c>
      <c r="L25" s="3" t="str">
        <f t="shared" ca="1" si="1"/>
        <v>CRITICO(MAS 30 DIAS)</v>
      </c>
    </row>
    <row r="26" spans="1:18" x14ac:dyDescent="0.25">
      <c r="A26" s="3" t="str">
        <f t="shared" si="2"/>
        <v>ene</v>
      </c>
      <c r="B26" s="3"/>
      <c r="C26" s="4"/>
      <c r="D26" s="17"/>
      <c r="E26" s="3"/>
      <c r="F26" s="3"/>
      <c r="G26" s="3"/>
      <c r="H26" s="4"/>
      <c r="J26" s="3" t="s">
        <v>108</v>
      </c>
      <c r="K26" s="14" t="str">
        <f t="shared" si="0"/>
        <v/>
      </c>
      <c r="L26" s="3" t="str">
        <f t="shared" ca="1" si="1"/>
        <v>CRITICO(MAS 30 DIAS)</v>
      </c>
      <c r="N26" s="42" t="s">
        <v>637</v>
      </c>
      <c r="O26" t="s">
        <v>641</v>
      </c>
      <c r="P26" t="s">
        <v>643</v>
      </c>
      <c r="Q26" t="s">
        <v>651</v>
      </c>
      <c r="R26" t="s">
        <v>652</v>
      </c>
    </row>
    <row r="27" spans="1:18" x14ac:dyDescent="0.25">
      <c r="A27" s="3" t="str">
        <f t="shared" si="2"/>
        <v>ene</v>
      </c>
      <c r="B27" s="3"/>
      <c r="C27" s="4"/>
      <c r="D27" s="17"/>
      <c r="E27" s="3"/>
      <c r="F27" s="3"/>
      <c r="G27" s="3"/>
      <c r="H27" s="4"/>
      <c r="J27" s="3" t="s">
        <v>198</v>
      </c>
      <c r="K27" s="14" t="str">
        <f t="shared" si="0"/>
        <v/>
      </c>
      <c r="L27" s="3" t="str">
        <f t="shared" ca="1" si="1"/>
        <v>CRITICO(MAS 30 DIAS)</v>
      </c>
      <c r="N27" s="43" t="s">
        <v>638</v>
      </c>
      <c r="Q27"/>
    </row>
    <row r="28" spans="1:18" x14ac:dyDescent="0.25">
      <c r="A28" s="3" t="str">
        <f t="shared" si="2"/>
        <v>ene</v>
      </c>
      <c r="B28" s="3"/>
      <c r="C28" s="4"/>
      <c r="D28" s="17"/>
      <c r="E28" s="3"/>
      <c r="F28" s="3"/>
      <c r="G28" s="3"/>
      <c r="H28" s="4"/>
      <c r="J28" s="3" t="s">
        <v>120</v>
      </c>
      <c r="K28" s="14" t="str">
        <f t="shared" si="0"/>
        <v/>
      </c>
      <c r="L28" s="3" t="str">
        <f t="shared" ca="1" si="1"/>
        <v>CRITICO(MAS 30 DIAS)</v>
      </c>
      <c r="N28" s="43" t="s">
        <v>639</v>
      </c>
      <c r="Q28"/>
    </row>
    <row r="29" spans="1:18" x14ac:dyDescent="0.25">
      <c r="A29" s="3" t="str">
        <f t="shared" si="2"/>
        <v>ene</v>
      </c>
      <c r="B29" s="3"/>
      <c r="C29" s="4"/>
      <c r="D29" s="17"/>
      <c r="E29" s="3"/>
      <c r="F29" s="3"/>
      <c r="G29" s="3"/>
      <c r="H29" s="4"/>
      <c r="J29" s="3" t="s">
        <v>199</v>
      </c>
      <c r="K29" s="14">
        <f t="shared" si="0"/>
        <v>46298</v>
      </c>
      <c r="L29" s="3" t="str">
        <f t="shared" ca="1" si="1"/>
        <v>POR REALIZAR(ALERTA)</v>
      </c>
      <c r="Q29"/>
    </row>
    <row r="30" spans="1:18" x14ac:dyDescent="0.25">
      <c r="A30" s="3" t="str">
        <f t="shared" si="2"/>
        <v>ene</v>
      </c>
      <c r="B30" s="3"/>
      <c r="C30" s="4"/>
      <c r="D30" s="17"/>
      <c r="E30" s="3"/>
      <c r="F30" s="3"/>
      <c r="G30" s="3"/>
      <c r="H30" s="4"/>
      <c r="J30" s="3" t="s">
        <v>200</v>
      </c>
      <c r="K30" s="14">
        <f t="shared" si="0"/>
        <v>46298</v>
      </c>
      <c r="L30" s="3" t="str">
        <f t="shared" ca="1" si="1"/>
        <v>POR REALIZAR(ALERTA)</v>
      </c>
    </row>
    <row r="31" spans="1:18" x14ac:dyDescent="0.25">
      <c r="A31" s="3" t="str">
        <f t="shared" si="2"/>
        <v>ene</v>
      </c>
      <c r="B31" s="3"/>
      <c r="C31" s="4"/>
      <c r="D31" s="17"/>
      <c r="E31" s="3"/>
      <c r="F31" s="3"/>
      <c r="G31" s="3"/>
      <c r="H31" s="4"/>
      <c r="J31" s="3" t="s">
        <v>7</v>
      </c>
      <c r="K31" s="14" t="str">
        <f t="shared" si="0"/>
        <v/>
      </c>
      <c r="L31" s="3" t="str">
        <f t="shared" ca="1" si="1"/>
        <v>CRITICO(MAS 30 DIAS)</v>
      </c>
    </row>
    <row r="32" spans="1:18" x14ac:dyDescent="0.25">
      <c r="A32" s="3" t="str">
        <f t="shared" si="2"/>
        <v>ene</v>
      </c>
      <c r="B32" s="3"/>
      <c r="C32" s="4"/>
      <c r="D32" s="17"/>
      <c r="E32" s="3"/>
      <c r="F32" s="3"/>
      <c r="G32" s="3"/>
      <c r="H32" s="4"/>
      <c r="J32" s="3" t="s">
        <v>201</v>
      </c>
      <c r="K32" s="14" t="str">
        <f t="shared" si="0"/>
        <v/>
      </c>
      <c r="L32" s="3" t="str">
        <f t="shared" ca="1" si="1"/>
        <v>CRITICO(MAS 30 DIAS)</v>
      </c>
    </row>
    <row r="33" spans="1:12" x14ac:dyDescent="0.25">
      <c r="A33" s="3" t="str">
        <f t="shared" si="2"/>
        <v>ene</v>
      </c>
      <c r="B33" s="3"/>
      <c r="C33" s="4"/>
      <c r="D33" s="17"/>
      <c r="E33" s="3"/>
      <c r="F33" s="3"/>
      <c r="G33" s="3"/>
      <c r="H33" s="4"/>
      <c r="J33" s="3" t="s">
        <v>121</v>
      </c>
      <c r="K33" s="14">
        <f t="shared" si="0"/>
        <v>46311</v>
      </c>
      <c r="L33" s="3" t="str">
        <f t="shared" ca="1" si="1"/>
        <v>AL DIA (MENOS 10 DIAS)</v>
      </c>
    </row>
    <row r="34" spans="1:12" x14ac:dyDescent="0.25">
      <c r="A34" s="3" t="str">
        <f t="shared" si="2"/>
        <v>ene</v>
      </c>
      <c r="B34" s="3"/>
      <c r="C34" s="4"/>
      <c r="D34" s="17"/>
      <c r="E34" s="3"/>
      <c r="F34" s="3"/>
      <c r="G34" s="3"/>
      <c r="H34" s="4"/>
      <c r="J34" s="3" t="s">
        <v>123</v>
      </c>
      <c r="K34" s="14" t="str">
        <f t="shared" si="0"/>
        <v/>
      </c>
      <c r="L34" s="3" t="str">
        <f t="shared" ca="1" si="1"/>
        <v>CRITICO(MAS 30 DIAS)</v>
      </c>
    </row>
    <row r="35" spans="1:12" x14ac:dyDescent="0.25">
      <c r="A35" s="3" t="str">
        <f t="shared" si="2"/>
        <v>ene</v>
      </c>
      <c r="B35" s="3"/>
      <c r="C35" s="4"/>
      <c r="D35" s="17"/>
      <c r="E35" s="3"/>
      <c r="F35" s="3"/>
      <c r="G35" s="3"/>
      <c r="H35" s="4"/>
      <c r="J35" s="3" t="s">
        <v>8</v>
      </c>
      <c r="K35" s="14" t="str">
        <f t="shared" si="0"/>
        <v/>
      </c>
      <c r="L35" s="3" t="str">
        <f t="shared" ca="1" si="1"/>
        <v>CRITICO(MAS 30 DIAS)</v>
      </c>
    </row>
    <row r="36" spans="1:12" x14ac:dyDescent="0.25">
      <c r="A36" s="3" t="str">
        <f t="shared" si="2"/>
        <v>ene</v>
      </c>
      <c r="B36" s="3"/>
      <c r="C36" s="4"/>
      <c r="D36" s="17"/>
      <c r="E36" s="3"/>
      <c r="F36" s="3"/>
      <c r="G36" s="3"/>
      <c r="H36" s="4"/>
      <c r="J36" s="3" t="s">
        <v>9</v>
      </c>
      <c r="K36" s="14" t="str">
        <f t="shared" si="0"/>
        <v/>
      </c>
      <c r="L36" s="3" t="str">
        <f t="shared" ca="1" si="1"/>
        <v>CRITICO(MAS 30 DIAS)</v>
      </c>
    </row>
    <row r="37" spans="1:12" x14ac:dyDescent="0.25">
      <c r="A37" s="3" t="str">
        <f t="shared" si="2"/>
        <v>ene</v>
      </c>
      <c r="B37" s="3"/>
      <c r="C37" s="4"/>
      <c r="D37" s="17"/>
      <c r="E37" s="3"/>
      <c r="F37" s="3"/>
      <c r="G37" s="3"/>
      <c r="H37" s="4"/>
      <c r="J37" s="3" t="s">
        <v>10</v>
      </c>
      <c r="K37" s="14" t="str">
        <f t="shared" si="0"/>
        <v/>
      </c>
      <c r="L37" s="3" t="str">
        <f t="shared" ca="1" si="1"/>
        <v>CRITICO(MAS 30 DIAS)</v>
      </c>
    </row>
    <row r="38" spans="1:12" x14ac:dyDescent="0.25">
      <c r="A38" s="3" t="str">
        <f t="shared" si="2"/>
        <v>ene</v>
      </c>
      <c r="B38" s="3"/>
      <c r="C38" s="4"/>
      <c r="D38" s="17"/>
      <c r="E38" s="3"/>
      <c r="F38" s="3"/>
      <c r="G38" s="3"/>
      <c r="H38" s="4"/>
      <c r="J38" s="3" t="s">
        <v>11</v>
      </c>
      <c r="K38" s="14" t="str">
        <f t="shared" si="0"/>
        <v/>
      </c>
      <c r="L38" s="3" t="str">
        <f t="shared" ca="1" si="1"/>
        <v>CRITICO(MAS 30 DIAS)</v>
      </c>
    </row>
    <row r="39" spans="1:12" x14ac:dyDescent="0.25">
      <c r="A39" s="3" t="str">
        <f t="shared" si="2"/>
        <v>ene</v>
      </c>
      <c r="B39" s="3"/>
      <c r="C39" s="4"/>
      <c r="D39" s="17"/>
      <c r="E39" s="3"/>
      <c r="F39" s="3"/>
      <c r="G39" s="3"/>
      <c r="H39" s="4"/>
      <c r="J39" s="3" t="s">
        <v>12</v>
      </c>
      <c r="K39" s="14">
        <f t="shared" si="0"/>
        <v>46303</v>
      </c>
      <c r="L39" s="3" t="str">
        <f t="shared" ca="1" si="1"/>
        <v>AL DIA (MENOS 10 DIAS)</v>
      </c>
    </row>
    <row r="40" spans="1:12" x14ac:dyDescent="0.25">
      <c r="A40" s="3" t="str">
        <f t="shared" si="2"/>
        <v>ene</v>
      </c>
      <c r="B40" s="3"/>
      <c r="C40" s="4"/>
      <c r="D40" s="17"/>
      <c r="E40" s="3"/>
      <c r="F40" s="3"/>
      <c r="G40" s="3"/>
      <c r="H40" s="4"/>
      <c r="J40" s="3" t="s">
        <v>202</v>
      </c>
      <c r="K40" s="14" t="str">
        <f t="shared" si="0"/>
        <v/>
      </c>
      <c r="L40" s="3" t="str">
        <f t="shared" ca="1" si="1"/>
        <v>CRITICO(MAS 30 DIAS)</v>
      </c>
    </row>
    <row r="41" spans="1:12" x14ac:dyDescent="0.25">
      <c r="A41" s="3" t="str">
        <f t="shared" si="2"/>
        <v>ene</v>
      </c>
      <c r="B41" s="3"/>
      <c r="C41" s="4"/>
      <c r="D41" s="17"/>
      <c r="E41" s="3"/>
      <c r="F41" s="3"/>
      <c r="G41" s="3"/>
      <c r="H41" s="4"/>
      <c r="J41" s="3" t="s">
        <v>129</v>
      </c>
      <c r="K41" s="14" t="str">
        <f t="shared" si="0"/>
        <v/>
      </c>
      <c r="L41" s="3" t="str">
        <f t="shared" ca="1" si="1"/>
        <v>CRITICO(MAS 30 DIAS)</v>
      </c>
    </row>
    <row r="42" spans="1:12" x14ac:dyDescent="0.25">
      <c r="A42" s="3" t="str">
        <f t="shared" si="2"/>
        <v>ene</v>
      </c>
      <c r="B42" s="3"/>
      <c r="D42" s="17"/>
      <c r="E42" s="3"/>
      <c r="F42" s="3"/>
      <c r="G42" s="3"/>
      <c r="H42" s="4"/>
      <c r="J42" s="3" t="s">
        <v>48</v>
      </c>
      <c r="K42" s="14">
        <f t="shared" si="0"/>
        <v>46296</v>
      </c>
      <c r="L42" s="3" t="str">
        <f t="shared" ca="1" si="1"/>
        <v>POR REALIZAR(ALERTA)</v>
      </c>
    </row>
    <row r="43" spans="1:12" x14ac:dyDescent="0.25">
      <c r="A43" s="3" t="str">
        <f t="shared" si="2"/>
        <v>ene</v>
      </c>
      <c r="B43" s="3"/>
      <c r="D43" s="17"/>
      <c r="E43" s="3"/>
      <c r="F43" s="3"/>
      <c r="G43" s="3"/>
      <c r="H43" s="4"/>
      <c r="J43" s="3" t="s">
        <v>203</v>
      </c>
      <c r="K43" s="14" t="str">
        <f t="shared" si="0"/>
        <v/>
      </c>
      <c r="L43" s="3" t="str">
        <f t="shared" ca="1" si="1"/>
        <v>CRITICO(MAS 30 DIAS)</v>
      </c>
    </row>
    <row r="44" spans="1:12" x14ac:dyDescent="0.25">
      <c r="A44" s="3" t="str">
        <f t="shared" si="2"/>
        <v>ene</v>
      </c>
      <c r="B44" s="3"/>
      <c r="D44" s="17"/>
      <c r="E44" s="3"/>
      <c r="F44" s="3"/>
      <c r="G44" s="3"/>
      <c r="H44" s="4"/>
      <c r="J44" s="3" t="s">
        <v>204</v>
      </c>
      <c r="K44" s="14" t="str">
        <f t="shared" si="0"/>
        <v/>
      </c>
      <c r="L44" s="3" t="str">
        <f t="shared" ca="1" si="1"/>
        <v>CRITICO(MAS 30 DIAS)</v>
      </c>
    </row>
    <row r="45" spans="1:12" x14ac:dyDescent="0.25">
      <c r="A45" s="3" t="str">
        <f t="shared" si="2"/>
        <v>ene</v>
      </c>
      <c r="B45" s="3"/>
      <c r="D45" s="17"/>
      <c r="E45" s="3"/>
      <c r="F45" s="3"/>
      <c r="G45" s="3"/>
      <c r="H45" s="4"/>
      <c r="J45" s="3" t="s">
        <v>50</v>
      </c>
      <c r="K45" s="14" t="str">
        <f t="shared" si="0"/>
        <v/>
      </c>
      <c r="L45" s="3" t="str">
        <f t="shared" ca="1" si="1"/>
        <v>CRITICO(MAS 30 DIAS)</v>
      </c>
    </row>
    <row r="46" spans="1:12" x14ac:dyDescent="0.25">
      <c r="A46" s="3" t="str">
        <f t="shared" si="2"/>
        <v>ene</v>
      </c>
      <c r="B46" s="3"/>
      <c r="D46" s="17"/>
      <c r="E46" s="3"/>
      <c r="F46" s="3"/>
      <c r="G46" s="3"/>
      <c r="H46" s="4"/>
      <c r="J46" s="3" t="s">
        <v>54</v>
      </c>
      <c r="K46" s="14" t="str">
        <f t="shared" si="0"/>
        <v/>
      </c>
      <c r="L46" s="3" t="str">
        <f t="shared" ca="1" si="1"/>
        <v>CRITICO(MAS 30 DIAS)</v>
      </c>
    </row>
    <row r="47" spans="1:12" x14ac:dyDescent="0.25">
      <c r="A47" s="3" t="str">
        <f t="shared" si="2"/>
        <v>ene</v>
      </c>
      <c r="B47" s="3"/>
      <c r="D47" s="17"/>
      <c r="E47" s="3"/>
      <c r="F47" s="3"/>
      <c r="G47" s="3"/>
      <c r="H47" s="4"/>
      <c r="J47" s="3" t="s">
        <v>205</v>
      </c>
      <c r="K47" s="14">
        <f t="shared" si="0"/>
        <v>46298</v>
      </c>
      <c r="L47" s="3" t="str">
        <f t="shared" ca="1" si="1"/>
        <v>POR REALIZAR(ALERTA)</v>
      </c>
    </row>
    <row r="48" spans="1:12" x14ac:dyDescent="0.25">
      <c r="A48" s="3" t="str">
        <f t="shared" si="2"/>
        <v>ene</v>
      </c>
      <c r="B48" s="3"/>
      <c r="D48" s="17"/>
      <c r="E48" s="3"/>
      <c r="F48" s="3"/>
      <c r="G48" s="3"/>
      <c r="H48" s="4"/>
      <c r="J48" s="3" t="s">
        <v>206</v>
      </c>
      <c r="K48" s="14" t="str">
        <f t="shared" si="0"/>
        <v/>
      </c>
      <c r="L48" s="3" t="str">
        <f t="shared" ca="1" si="1"/>
        <v>CRITICO(MAS 30 DIAS)</v>
      </c>
    </row>
    <row r="49" spans="1:12" x14ac:dyDescent="0.25">
      <c r="A49" s="3" t="str">
        <f t="shared" si="2"/>
        <v>ene</v>
      </c>
      <c r="B49" s="3"/>
      <c r="D49" s="17"/>
      <c r="E49" s="3"/>
      <c r="F49" s="3"/>
      <c r="G49" s="3"/>
      <c r="H49" s="4"/>
      <c r="J49" s="3" t="s">
        <v>57</v>
      </c>
      <c r="K49" s="14" t="str">
        <f t="shared" si="0"/>
        <v/>
      </c>
      <c r="L49" s="3" t="str">
        <f t="shared" ca="1" si="1"/>
        <v>CRITICO(MAS 30 DIAS)</v>
      </c>
    </row>
    <row r="50" spans="1:12" x14ac:dyDescent="0.25">
      <c r="A50" s="3" t="str">
        <f t="shared" si="2"/>
        <v>ene</v>
      </c>
      <c r="B50" s="3"/>
      <c r="D50" s="17"/>
      <c r="E50" s="3"/>
      <c r="F50" s="3"/>
      <c r="G50" s="3"/>
      <c r="H50" s="4"/>
      <c r="J50" s="3" t="s">
        <v>155</v>
      </c>
      <c r="K50" s="14" t="str">
        <f t="shared" si="0"/>
        <v/>
      </c>
      <c r="L50" s="3" t="str">
        <f t="shared" ca="1" si="1"/>
        <v>CRITICO(MAS 30 DIAS)</v>
      </c>
    </row>
    <row r="51" spans="1:12" x14ac:dyDescent="0.25">
      <c r="A51" s="3" t="str">
        <f t="shared" si="2"/>
        <v>ene</v>
      </c>
      <c r="B51" s="3"/>
      <c r="D51" s="17"/>
      <c r="E51" s="3"/>
      <c r="F51" s="3"/>
      <c r="G51" s="3"/>
      <c r="H51" s="4"/>
      <c r="J51" s="3" t="s">
        <v>207</v>
      </c>
      <c r="K51" s="14" t="str">
        <f t="shared" si="0"/>
        <v/>
      </c>
      <c r="L51" s="3" t="str">
        <f t="shared" ca="1" si="1"/>
        <v>CRITICO(MAS 30 DIAS)</v>
      </c>
    </row>
    <row r="52" spans="1:12" x14ac:dyDescent="0.25">
      <c r="A52" s="3" t="str">
        <f t="shared" si="2"/>
        <v>ene</v>
      </c>
      <c r="B52" s="3"/>
      <c r="D52" s="17"/>
      <c r="E52" s="3"/>
      <c r="F52" s="3"/>
      <c r="G52" s="3"/>
      <c r="H52" s="4"/>
      <c r="J52" s="3" t="s">
        <v>208</v>
      </c>
      <c r="K52" s="14" t="str">
        <f t="shared" si="0"/>
        <v/>
      </c>
      <c r="L52" s="3" t="str">
        <f t="shared" ca="1" si="1"/>
        <v>CRITICO(MAS 30 DIAS)</v>
      </c>
    </row>
    <row r="53" spans="1:12" x14ac:dyDescent="0.25">
      <c r="A53" s="3" t="str">
        <f t="shared" si="2"/>
        <v>ene</v>
      </c>
      <c r="B53" s="3"/>
      <c r="D53" s="17"/>
      <c r="E53" s="3"/>
      <c r="F53" s="3"/>
      <c r="G53" s="3"/>
      <c r="H53" s="4"/>
      <c r="J53" s="3" t="s">
        <v>209</v>
      </c>
      <c r="K53" s="14" t="str">
        <f t="shared" si="0"/>
        <v/>
      </c>
      <c r="L53" s="3" t="str">
        <f t="shared" ca="1" si="1"/>
        <v>CRITICO(MAS 30 DIAS)</v>
      </c>
    </row>
    <row r="54" spans="1:12" x14ac:dyDescent="0.25">
      <c r="A54" s="3" t="str">
        <f t="shared" si="2"/>
        <v>ene</v>
      </c>
      <c r="B54" s="3"/>
      <c r="D54" s="17"/>
      <c r="E54" s="3"/>
      <c r="F54" s="3"/>
      <c r="G54" s="3"/>
      <c r="H54" s="4"/>
      <c r="J54" s="3" t="s">
        <v>64</v>
      </c>
      <c r="K54" s="14" t="str">
        <f t="shared" si="0"/>
        <v/>
      </c>
      <c r="L54" s="3" t="str">
        <f t="shared" ca="1" si="1"/>
        <v>CRITICO(MAS 30 DIAS)</v>
      </c>
    </row>
    <row r="55" spans="1:12" x14ac:dyDescent="0.25">
      <c r="A55" s="3" t="str">
        <f t="shared" si="2"/>
        <v>ene</v>
      </c>
      <c r="B55" s="3"/>
      <c r="D55" s="17"/>
      <c r="E55" s="3"/>
      <c r="F55" s="3"/>
      <c r="G55" s="3"/>
      <c r="H55" s="4"/>
      <c r="J55" s="3" t="s">
        <v>210</v>
      </c>
      <c r="K55" s="14" t="str">
        <f t="shared" si="0"/>
        <v/>
      </c>
      <c r="L55" s="3" t="str">
        <f t="shared" ca="1" si="1"/>
        <v>CRITICO(MAS 30 DIAS)</v>
      </c>
    </row>
    <row r="56" spans="1:12" x14ac:dyDescent="0.25">
      <c r="A56" s="3" t="str">
        <f t="shared" si="2"/>
        <v>ene</v>
      </c>
      <c r="B56" s="3"/>
      <c r="D56" s="17"/>
      <c r="E56" s="3"/>
      <c r="F56" s="3"/>
      <c r="G56" s="3"/>
      <c r="H56" s="4"/>
      <c r="J56" s="3" t="s">
        <v>211</v>
      </c>
      <c r="K56" s="14" t="str">
        <f t="shared" si="0"/>
        <v/>
      </c>
      <c r="L56" s="3" t="str">
        <f t="shared" ca="1" si="1"/>
        <v>CRITICO(MAS 30 DIAS)</v>
      </c>
    </row>
    <row r="57" spans="1:12" x14ac:dyDescent="0.25">
      <c r="A57" s="3" t="str">
        <f t="shared" si="2"/>
        <v>ene</v>
      </c>
    </row>
    <row r="58" spans="1:12" x14ac:dyDescent="0.25">
      <c r="A58" s="3" t="str">
        <f t="shared" si="2"/>
        <v>ene</v>
      </c>
    </row>
    <row r="59" spans="1:12" x14ac:dyDescent="0.25">
      <c r="A59" s="3" t="str">
        <f t="shared" si="2"/>
        <v>ene</v>
      </c>
    </row>
    <row r="60" spans="1:12" x14ac:dyDescent="0.25">
      <c r="A60" s="3" t="str">
        <f t="shared" si="2"/>
        <v>ene</v>
      </c>
    </row>
    <row r="61" spans="1:12" x14ac:dyDescent="0.25">
      <c r="A61" s="3" t="str">
        <f t="shared" si="2"/>
        <v>ene</v>
      </c>
    </row>
    <row r="62" spans="1:12" x14ac:dyDescent="0.25">
      <c r="A62" s="3" t="str">
        <f t="shared" si="2"/>
        <v>ene</v>
      </c>
    </row>
    <row r="63" spans="1:12" x14ac:dyDescent="0.25">
      <c r="A63" s="3" t="str">
        <f t="shared" si="2"/>
        <v>ene</v>
      </c>
    </row>
    <row r="64" spans="1:12" x14ac:dyDescent="0.25">
      <c r="A64" s="3" t="str">
        <f t="shared" si="2"/>
        <v>ene</v>
      </c>
    </row>
    <row r="65" spans="1:1" x14ac:dyDescent="0.25">
      <c r="A65" s="3" t="str">
        <f t="shared" si="2"/>
        <v>ene</v>
      </c>
    </row>
    <row r="66" spans="1:1" x14ac:dyDescent="0.25">
      <c r="A66" s="3" t="str">
        <f t="shared" si="2"/>
        <v>ene</v>
      </c>
    </row>
    <row r="67" spans="1:1" x14ac:dyDescent="0.25">
      <c r="A67" s="3" t="str">
        <f t="shared" si="2"/>
        <v>ene</v>
      </c>
    </row>
    <row r="68" spans="1:1" x14ac:dyDescent="0.25">
      <c r="A68" s="3" t="str">
        <f t="shared" si="2"/>
        <v>ene</v>
      </c>
    </row>
    <row r="69" spans="1:1" x14ac:dyDescent="0.25">
      <c r="A69" s="3" t="str">
        <f t="shared" si="2"/>
        <v>ene</v>
      </c>
    </row>
    <row r="70" spans="1:1" x14ac:dyDescent="0.25">
      <c r="A70" s="3" t="str">
        <f t="shared" ref="A70:A133" si="3">TEXT($D70,"mmm")</f>
        <v>ene</v>
      </c>
    </row>
    <row r="71" spans="1:1" x14ac:dyDescent="0.25">
      <c r="A71" s="3" t="str">
        <f t="shared" si="3"/>
        <v>ene</v>
      </c>
    </row>
    <row r="72" spans="1:1" x14ac:dyDescent="0.25">
      <c r="A72" s="3" t="str">
        <f t="shared" si="3"/>
        <v>ene</v>
      </c>
    </row>
    <row r="73" spans="1:1" x14ac:dyDescent="0.25">
      <c r="A73" s="3" t="str">
        <f t="shared" si="3"/>
        <v>ene</v>
      </c>
    </row>
    <row r="74" spans="1:1" x14ac:dyDescent="0.25">
      <c r="A74" s="3" t="str">
        <f t="shared" si="3"/>
        <v>ene</v>
      </c>
    </row>
    <row r="75" spans="1:1" x14ac:dyDescent="0.25">
      <c r="A75" s="3" t="str">
        <f t="shared" si="3"/>
        <v>ene</v>
      </c>
    </row>
    <row r="76" spans="1:1" x14ac:dyDescent="0.25">
      <c r="A76" s="3" t="str">
        <f t="shared" si="3"/>
        <v>ene</v>
      </c>
    </row>
    <row r="77" spans="1:1" x14ac:dyDescent="0.25">
      <c r="A77" s="3" t="str">
        <f t="shared" si="3"/>
        <v>ene</v>
      </c>
    </row>
    <row r="78" spans="1:1" x14ac:dyDescent="0.25">
      <c r="A78" s="3" t="str">
        <f t="shared" si="3"/>
        <v>ene</v>
      </c>
    </row>
    <row r="79" spans="1:1" x14ac:dyDescent="0.25">
      <c r="A79" s="3" t="str">
        <f t="shared" si="3"/>
        <v>ene</v>
      </c>
    </row>
    <row r="80" spans="1:1" x14ac:dyDescent="0.25">
      <c r="A80" s="3" t="str">
        <f t="shared" si="3"/>
        <v>ene</v>
      </c>
    </row>
    <row r="81" spans="1:1" x14ac:dyDescent="0.25">
      <c r="A81" s="3" t="str">
        <f t="shared" si="3"/>
        <v>ene</v>
      </c>
    </row>
    <row r="82" spans="1:1" x14ac:dyDescent="0.25">
      <c r="A82" s="3" t="str">
        <f t="shared" si="3"/>
        <v>ene</v>
      </c>
    </row>
    <row r="83" spans="1:1" x14ac:dyDescent="0.25">
      <c r="A83" s="3" t="str">
        <f t="shared" si="3"/>
        <v>ene</v>
      </c>
    </row>
    <row r="84" spans="1:1" x14ac:dyDescent="0.25">
      <c r="A84" s="3" t="str">
        <f t="shared" si="3"/>
        <v>ene</v>
      </c>
    </row>
    <row r="85" spans="1:1" x14ac:dyDescent="0.25">
      <c r="A85" s="3" t="str">
        <f t="shared" si="3"/>
        <v>ene</v>
      </c>
    </row>
    <row r="86" spans="1:1" x14ac:dyDescent="0.25">
      <c r="A86" s="3" t="str">
        <f t="shared" si="3"/>
        <v>ene</v>
      </c>
    </row>
    <row r="87" spans="1:1" x14ac:dyDescent="0.25">
      <c r="A87" s="3" t="str">
        <f t="shared" si="3"/>
        <v>ene</v>
      </c>
    </row>
    <row r="88" spans="1:1" x14ac:dyDescent="0.25">
      <c r="A88" s="3" t="str">
        <f t="shared" si="3"/>
        <v>ene</v>
      </c>
    </row>
    <row r="89" spans="1:1" x14ac:dyDescent="0.25">
      <c r="A89" s="3" t="str">
        <f t="shared" si="3"/>
        <v>ene</v>
      </c>
    </row>
    <row r="90" spans="1:1" x14ac:dyDescent="0.25">
      <c r="A90" s="3" t="str">
        <f t="shared" si="3"/>
        <v>ene</v>
      </c>
    </row>
    <row r="91" spans="1:1" x14ac:dyDescent="0.25">
      <c r="A91" s="3" t="str">
        <f t="shared" si="3"/>
        <v>ene</v>
      </c>
    </row>
    <row r="92" spans="1:1" x14ac:dyDescent="0.25">
      <c r="A92" s="3" t="str">
        <f t="shared" si="3"/>
        <v>ene</v>
      </c>
    </row>
    <row r="93" spans="1:1" x14ac:dyDescent="0.25">
      <c r="A93" s="3" t="str">
        <f t="shared" si="3"/>
        <v>ene</v>
      </c>
    </row>
    <row r="94" spans="1:1" x14ac:dyDescent="0.25">
      <c r="A94" s="3" t="str">
        <f t="shared" si="3"/>
        <v>ene</v>
      </c>
    </row>
    <row r="95" spans="1:1" x14ac:dyDescent="0.25">
      <c r="A95" s="3" t="str">
        <f t="shared" si="3"/>
        <v>ene</v>
      </c>
    </row>
    <row r="96" spans="1:1" x14ac:dyDescent="0.25">
      <c r="A96" s="3" t="str">
        <f t="shared" si="3"/>
        <v>ene</v>
      </c>
    </row>
    <row r="97" spans="1:1" x14ac:dyDescent="0.25">
      <c r="A97" s="3" t="str">
        <f t="shared" si="3"/>
        <v>ene</v>
      </c>
    </row>
    <row r="98" spans="1:1" x14ac:dyDescent="0.25">
      <c r="A98" s="3" t="str">
        <f t="shared" si="3"/>
        <v>ene</v>
      </c>
    </row>
    <row r="99" spans="1:1" x14ac:dyDescent="0.25">
      <c r="A99" s="3" t="str">
        <f t="shared" si="3"/>
        <v>ene</v>
      </c>
    </row>
    <row r="100" spans="1:1" x14ac:dyDescent="0.25">
      <c r="A100" s="3" t="str">
        <f t="shared" si="3"/>
        <v>ene</v>
      </c>
    </row>
    <row r="101" spans="1:1" x14ac:dyDescent="0.25">
      <c r="A101" s="3" t="str">
        <f t="shared" si="3"/>
        <v>ene</v>
      </c>
    </row>
    <row r="102" spans="1:1" x14ac:dyDescent="0.25">
      <c r="A102" s="3" t="str">
        <f t="shared" si="3"/>
        <v>ene</v>
      </c>
    </row>
    <row r="103" spans="1:1" x14ac:dyDescent="0.25">
      <c r="A103" s="3" t="str">
        <f t="shared" si="3"/>
        <v>ene</v>
      </c>
    </row>
    <row r="104" spans="1:1" x14ac:dyDescent="0.25">
      <c r="A104" s="3" t="str">
        <f t="shared" si="3"/>
        <v>ene</v>
      </c>
    </row>
    <row r="105" spans="1:1" x14ac:dyDescent="0.25">
      <c r="A105" s="3" t="str">
        <f t="shared" si="3"/>
        <v>ene</v>
      </c>
    </row>
    <row r="106" spans="1:1" x14ac:dyDescent="0.25">
      <c r="A106" s="3" t="str">
        <f t="shared" si="3"/>
        <v>ene</v>
      </c>
    </row>
    <row r="107" spans="1:1" x14ac:dyDescent="0.25">
      <c r="A107" s="3" t="str">
        <f t="shared" si="3"/>
        <v>ene</v>
      </c>
    </row>
    <row r="108" spans="1:1" x14ac:dyDescent="0.25">
      <c r="A108" s="3" t="str">
        <f t="shared" si="3"/>
        <v>ene</v>
      </c>
    </row>
    <row r="109" spans="1:1" x14ac:dyDescent="0.25">
      <c r="A109" s="3" t="str">
        <f t="shared" si="3"/>
        <v>ene</v>
      </c>
    </row>
    <row r="110" spans="1:1" x14ac:dyDescent="0.25">
      <c r="A110" s="3" t="str">
        <f t="shared" si="3"/>
        <v>ene</v>
      </c>
    </row>
    <row r="111" spans="1:1" x14ac:dyDescent="0.25">
      <c r="A111" s="3" t="str">
        <f t="shared" si="3"/>
        <v>ene</v>
      </c>
    </row>
    <row r="112" spans="1:1" x14ac:dyDescent="0.25">
      <c r="A112" s="3" t="str">
        <f t="shared" si="3"/>
        <v>ene</v>
      </c>
    </row>
    <row r="113" spans="1:1" x14ac:dyDescent="0.25">
      <c r="A113" s="3" t="str">
        <f t="shared" si="3"/>
        <v>ene</v>
      </c>
    </row>
    <row r="114" spans="1:1" x14ac:dyDescent="0.25">
      <c r="A114" s="3" t="str">
        <f t="shared" si="3"/>
        <v>ene</v>
      </c>
    </row>
    <row r="115" spans="1:1" x14ac:dyDescent="0.25">
      <c r="A115" s="3" t="str">
        <f t="shared" si="3"/>
        <v>ene</v>
      </c>
    </row>
    <row r="116" spans="1:1" x14ac:dyDescent="0.25">
      <c r="A116" s="3" t="str">
        <f t="shared" si="3"/>
        <v>ene</v>
      </c>
    </row>
    <row r="117" spans="1:1" x14ac:dyDescent="0.25">
      <c r="A117" s="3" t="str">
        <f t="shared" si="3"/>
        <v>ene</v>
      </c>
    </row>
    <row r="118" spans="1:1" x14ac:dyDescent="0.25">
      <c r="A118" s="3" t="str">
        <f t="shared" si="3"/>
        <v>ene</v>
      </c>
    </row>
    <row r="119" spans="1:1" x14ac:dyDescent="0.25">
      <c r="A119" s="3" t="str">
        <f t="shared" si="3"/>
        <v>ene</v>
      </c>
    </row>
    <row r="120" spans="1:1" x14ac:dyDescent="0.25">
      <c r="A120" s="3" t="str">
        <f t="shared" si="3"/>
        <v>ene</v>
      </c>
    </row>
    <row r="121" spans="1:1" x14ac:dyDescent="0.25">
      <c r="A121" s="3" t="str">
        <f t="shared" si="3"/>
        <v>ene</v>
      </c>
    </row>
    <row r="122" spans="1:1" x14ac:dyDescent="0.25">
      <c r="A122" s="3" t="str">
        <f t="shared" si="3"/>
        <v>ene</v>
      </c>
    </row>
    <row r="123" spans="1:1" x14ac:dyDescent="0.25">
      <c r="A123" s="3" t="str">
        <f t="shared" si="3"/>
        <v>ene</v>
      </c>
    </row>
    <row r="124" spans="1:1" x14ac:dyDescent="0.25">
      <c r="A124" s="3" t="str">
        <f t="shared" si="3"/>
        <v>ene</v>
      </c>
    </row>
    <row r="125" spans="1:1" x14ac:dyDescent="0.25">
      <c r="A125" s="3" t="str">
        <f t="shared" si="3"/>
        <v>ene</v>
      </c>
    </row>
    <row r="126" spans="1:1" x14ac:dyDescent="0.25">
      <c r="A126" s="3" t="str">
        <f t="shared" si="3"/>
        <v>ene</v>
      </c>
    </row>
    <row r="127" spans="1:1" x14ac:dyDescent="0.25">
      <c r="A127" s="3" t="str">
        <f t="shared" si="3"/>
        <v>ene</v>
      </c>
    </row>
    <row r="128" spans="1:1" x14ac:dyDescent="0.25">
      <c r="A128" s="3" t="str">
        <f t="shared" si="3"/>
        <v>ene</v>
      </c>
    </row>
    <row r="129" spans="1:1" x14ac:dyDescent="0.25">
      <c r="A129" s="3" t="str">
        <f t="shared" si="3"/>
        <v>ene</v>
      </c>
    </row>
    <row r="130" spans="1:1" x14ac:dyDescent="0.25">
      <c r="A130" s="3" t="str">
        <f t="shared" si="3"/>
        <v>ene</v>
      </c>
    </row>
    <row r="131" spans="1:1" x14ac:dyDescent="0.25">
      <c r="A131" s="3" t="str">
        <f t="shared" si="3"/>
        <v>ene</v>
      </c>
    </row>
    <row r="132" spans="1:1" x14ac:dyDescent="0.25">
      <c r="A132" s="3" t="str">
        <f t="shared" si="3"/>
        <v>ene</v>
      </c>
    </row>
    <row r="133" spans="1:1" x14ac:dyDescent="0.25">
      <c r="A133" s="3" t="str">
        <f t="shared" si="3"/>
        <v>ene</v>
      </c>
    </row>
    <row r="134" spans="1:1" x14ac:dyDescent="0.25">
      <c r="A134" s="3" t="str">
        <f t="shared" ref="A134:A197" si="4">TEXT($D134,"mmm")</f>
        <v>ene</v>
      </c>
    </row>
    <row r="135" spans="1:1" x14ac:dyDescent="0.25">
      <c r="A135" s="3" t="str">
        <f t="shared" si="4"/>
        <v>ene</v>
      </c>
    </row>
    <row r="136" spans="1:1" x14ac:dyDescent="0.25">
      <c r="A136" s="3" t="str">
        <f t="shared" si="4"/>
        <v>ene</v>
      </c>
    </row>
    <row r="137" spans="1:1" x14ac:dyDescent="0.25">
      <c r="A137" s="3" t="str">
        <f t="shared" si="4"/>
        <v>ene</v>
      </c>
    </row>
    <row r="138" spans="1:1" x14ac:dyDescent="0.25">
      <c r="A138" s="3" t="str">
        <f t="shared" si="4"/>
        <v>ene</v>
      </c>
    </row>
    <row r="139" spans="1:1" x14ac:dyDescent="0.25">
      <c r="A139" s="3" t="str">
        <f t="shared" si="4"/>
        <v>ene</v>
      </c>
    </row>
    <row r="140" spans="1:1" x14ac:dyDescent="0.25">
      <c r="A140" s="3" t="str">
        <f t="shared" si="4"/>
        <v>ene</v>
      </c>
    </row>
    <row r="141" spans="1:1" x14ac:dyDescent="0.25">
      <c r="A141" s="3" t="str">
        <f t="shared" si="4"/>
        <v>ene</v>
      </c>
    </row>
    <row r="142" spans="1:1" x14ac:dyDescent="0.25">
      <c r="A142" s="3" t="str">
        <f t="shared" si="4"/>
        <v>ene</v>
      </c>
    </row>
    <row r="143" spans="1:1" x14ac:dyDescent="0.25">
      <c r="A143" s="3" t="str">
        <f t="shared" si="4"/>
        <v>ene</v>
      </c>
    </row>
    <row r="144" spans="1:1" x14ac:dyDescent="0.25">
      <c r="A144" s="3" t="str">
        <f t="shared" si="4"/>
        <v>ene</v>
      </c>
    </row>
    <row r="145" spans="1:1" x14ac:dyDescent="0.25">
      <c r="A145" s="3" t="str">
        <f t="shared" si="4"/>
        <v>ene</v>
      </c>
    </row>
    <row r="146" spans="1:1" x14ac:dyDescent="0.25">
      <c r="A146" s="3" t="str">
        <f t="shared" si="4"/>
        <v>ene</v>
      </c>
    </row>
    <row r="147" spans="1:1" x14ac:dyDescent="0.25">
      <c r="A147" s="3" t="str">
        <f t="shared" si="4"/>
        <v>ene</v>
      </c>
    </row>
    <row r="148" spans="1:1" x14ac:dyDescent="0.25">
      <c r="A148" s="3" t="str">
        <f t="shared" si="4"/>
        <v>ene</v>
      </c>
    </row>
    <row r="149" spans="1:1" x14ac:dyDescent="0.25">
      <c r="A149" s="3" t="str">
        <f t="shared" si="4"/>
        <v>ene</v>
      </c>
    </row>
    <row r="150" spans="1:1" x14ac:dyDescent="0.25">
      <c r="A150" s="3" t="str">
        <f t="shared" si="4"/>
        <v>ene</v>
      </c>
    </row>
    <row r="151" spans="1:1" x14ac:dyDescent="0.25">
      <c r="A151" s="3" t="str">
        <f t="shared" si="4"/>
        <v>ene</v>
      </c>
    </row>
    <row r="152" spans="1:1" x14ac:dyDescent="0.25">
      <c r="A152" s="3" t="str">
        <f t="shared" si="4"/>
        <v>ene</v>
      </c>
    </row>
    <row r="153" spans="1:1" x14ac:dyDescent="0.25">
      <c r="A153" s="3" t="str">
        <f t="shared" si="4"/>
        <v>ene</v>
      </c>
    </row>
    <row r="154" spans="1:1" x14ac:dyDescent="0.25">
      <c r="A154" s="3" t="str">
        <f t="shared" si="4"/>
        <v>ene</v>
      </c>
    </row>
    <row r="155" spans="1:1" x14ac:dyDescent="0.25">
      <c r="A155" s="3" t="str">
        <f t="shared" si="4"/>
        <v>ene</v>
      </c>
    </row>
    <row r="156" spans="1:1" x14ac:dyDescent="0.25">
      <c r="A156" s="3" t="str">
        <f t="shared" si="4"/>
        <v>ene</v>
      </c>
    </row>
    <row r="157" spans="1:1" x14ac:dyDescent="0.25">
      <c r="A157" s="3" t="str">
        <f t="shared" si="4"/>
        <v>ene</v>
      </c>
    </row>
    <row r="158" spans="1:1" x14ac:dyDescent="0.25">
      <c r="A158" s="3" t="str">
        <f t="shared" si="4"/>
        <v>ene</v>
      </c>
    </row>
    <row r="159" spans="1:1" x14ac:dyDescent="0.25">
      <c r="A159" s="3" t="str">
        <f t="shared" si="4"/>
        <v>ene</v>
      </c>
    </row>
    <row r="160" spans="1:1" x14ac:dyDescent="0.25">
      <c r="A160" s="3" t="str">
        <f t="shared" si="4"/>
        <v>ene</v>
      </c>
    </row>
    <row r="161" spans="1:1" x14ac:dyDescent="0.25">
      <c r="A161" s="3" t="str">
        <f t="shared" si="4"/>
        <v>ene</v>
      </c>
    </row>
    <row r="162" spans="1:1" x14ac:dyDescent="0.25">
      <c r="A162" s="3" t="str">
        <f t="shared" si="4"/>
        <v>ene</v>
      </c>
    </row>
    <row r="163" spans="1:1" x14ac:dyDescent="0.25">
      <c r="A163" s="3" t="str">
        <f t="shared" si="4"/>
        <v>ene</v>
      </c>
    </row>
    <row r="164" spans="1:1" x14ac:dyDescent="0.25">
      <c r="A164" s="3" t="str">
        <f t="shared" si="4"/>
        <v>ene</v>
      </c>
    </row>
    <row r="165" spans="1:1" x14ac:dyDescent="0.25">
      <c r="A165" s="3" t="str">
        <f t="shared" si="4"/>
        <v>ene</v>
      </c>
    </row>
    <row r="166" spans="1:1" x14ac:dyDescent="0.25">
      <c r="A166" s="3" t="str">
        <f t="shared" si="4"/>
        <v>ene</v>
      </c>
    </row>
    <row r="167" spans="1:1" x14ac:dyDescent="0.25">
      <c r="A167" s="3" t="str">
        <f t="shared" si="4"/>
        <v>ene</v>
      </c>
    </row>
    <row r="168" spans="1:1" x14ac:dyDescent="0.25">
      <c r="A168" s="3" t="str">
        <f t="shared" si="4"/>
        <v>ene</v>
      </c>
    </row>
    <row r="169" spans="1:1" x14ac:dyDescent="0.25">
      <c r="A169" s="3" t="str">
        <f t="shared" si="4"/>
        <v>ene</v>
      </c>
    </row>
    <row r="170" spans="1:1" x14ac:dyDescent="0.25">
      <c r="A170" s="3" t="str">
        <f t="shared" si="4"/>
        <v>ene</v>
      </c>
    </row>
    <row r="171" spans="1:1" x14ac:dyDescent="0.25">
      <c r="A171" s="3" t="str">
        <f t="shared" si="4"/>
        <v>ene</v>
      </c>
    </row>
    <row r="172" spans="1:1" x14ac:dyDescent="0.25">
      <c r="A172" s="3" t="str">
        <f t="shared" si="4"/>
        <v>ene</v>
      </c>
    </row>
    <row r="173" spans="1:1" x14ac:dyDescent="0.25">
      <c r="A173" s="3" t="str">
        <f t="shared" si="4"/>
        <v>ene</v>
      </c>
    </row>
    <row r="174" spans="1:1" x14ac:dyDescent="0.25">
      <c r="A174" s="3" t="str">
        <f t="shared" si="4"/>
        <v>ene</v>
      </c>
    </row>
    <row r="175" spans="1:1" x14ac:dyDescent="0.25">
      <c r="A175" s="3" t="str">
        <f t="shared" si="4"/>
        <v>ene</v>
      </c>
    </row>
    <row r="176" spans="1:1" x14ac:dyDescent="0.25">
      <c r="A176" s="3" t="str">
        <f t="shared" si="4"/>
        <v>ene</v>
      </c>
    </row>
    <row r="177" spans="1:1" x14ac:dyDescent="0.25">
      <c r="A177" s="3" t="str">
        <f t="shared" si="4"/>
        <v>ene</v>
      </c>
    </row>
    <row r="178" spans="1:1" x14ac:dyDescent="0.25">
      <c r="A178" s="3" t="str">
        <f t="shared" si="4"/>
        <v>ene</v>
      </c>
    </row>
    <row r="179" spans="1:1" x14ac:dyDescent="0.25">
      <c r="A179" s="3" t="str">
        <f t="shared" si="4"/>
        <v>ene</v>
      </c>
    </row>
    <row r="180" spans="1:1" x14ac:dyDescent="0.25">
      <c r="A180" s="3" t="str">
        <f t="shared" si="4"/>
        <v>ene</v>
      </c>
    </row>
    <row r="181" spans="1:1" x14ac:dyDescent="0.25">
      <c r="A181" s="3" t="str">
        <f t="shared" si="4"/>
        <v>ene</v>
      </c>
    </row>
    <row r="182" spans="1:1" x14ac:dyDescent="0.25">
      <c r="A182" s="3" t="str">
        <f t="shared" si="4"/>
        <v>ene</v>
      </c>
    </row>
    <row r="183" spans="1:1" x14ac:dyDescent="0.25">
      <c r="A183" s="3" t="str">
        <f t="shared" si="4"/>
        <v>ene</v>
      </c>
    </row>
    <row r="184" spans="1:1" x14ac:dyDescent="0.25">
      <c r="A184" s="3" t="str">
        <f t="shared" si="4"/>
        <v>ene</v>
      </c>
    </row>
    <row r="185" spans="1:1" x14ac:dyDescent="0.25">
      <c r="A185" s="3" t="str">
        <f t="shared" si="4"/>
        <v>ene</v>
      </c>
    </row>
    <row r="186" spans="1:1" x14ac:dyDescent="0.25">
      <c r="A186" s="3" t="str">
        <f t="shared" si="4"/>
        <v>ene</v>
      </c>
    </row>
    <row r="187" spans="1:1" x14ac:dyDescent="0.25">
      <c r="A187" s="3" t="str">
        <f t="shared" si="4"/>
        <v>ene</v>
      </c>
    </row>
    <row r="188" spans="1:1" x14ac:dyDescent="0.25">
      <c r="A188" s="3" t="str">
        <f t="shared" si="4"/>
        <v>ene</v>
      </c>
    </row>
    <row r="189" spans="1:1" x14ac:dyDescent="0.25">
      <c r="A189" s="3" t="str">
        <f t="shared" si="4"/>
        <v>ene</v>
      </c>
    </row>
    <row r="190" spans="1:1" x14ac:dyDescent="0.25">
      <c r="A190" s="3" t="str">
        <f t="shared" si="4"/>
        <v>ene</v>
      </c>
    </row>
    <row r="191" spans="1:1" x14ac:dyDescent="0.25">
      <c r="A191" s="3" t="str">
        <f t="shared" si="4"/>
        <v>ene</v>
      </c>
    </row>
    <row r="192" spans="1:1" x14ac:dyDescent="0.25">
      <c r="A192" s="3" t="str">
        <f t="shared" si="4"/>
        <v>ene</v>
      </c>
    </row>
    <row r="193" spans="1:1" x14ac:dyDescent="0.25">
      <c r="A193" s="3" t="str">
        <f t="shared" si="4"/>
        <v>ene</v>
      </c>
    </row>
    <row r="194" spans="1:1" x14ac:dyDescent="0.25">
      <c r="A194" s="3" t="str">
        <f t="shared" si="4"/>
        <v>ene</v>
      </c>
    </row>
    <row r="195" spans="1:1" x14ac:dyDescent="0.25">
      <c r="A195" s="3" t="str">
        <f t="shared" si="4"/>
        <v>ene</v>
      </c>
    </row>
    <row r="196" spans="1:1" x14ac:dyDescent="0.25">
      <c r="A196" s="3" t="str">
        <f t="shared" si="4"/>
        <v>ene</v>
      </c>
    </row>
    <row r="197" spans="1:1" x14ac:dyDescent="0.25">
      <c r="A197" s="3" t="str">
        <f t="shared" si="4"/>
        <v>ene</v>
      </c>
    </row>
    <row r="198" spans="1:1" x14ac:dyDescent="0.25">
      <c r="A198" s="3" t="str">
        <f t="shared" ref="A198:A261" si="5">TEXT($D198,"mmm")</f>
        <v>ene</v>
      </c>
    </row>
    <row r="199" spans="1:1" x14ac:dyDescent="0.25">
      <c r="A199" s="3" t="str">
        <f t="shared" si="5"/>
        <v>ene</v>
      </c>
    </row>
    <row r="200" spans="1:1" x14ac:dyDescent="0.25">
      <c r="A200" s="3" t="str">
        <f t="shared" si="5"/>
        <v>ene</v>
      </c>
    </row>
    <row r="201" spans="1:1" x14ac:dyDescent="0.25">
      <c r="A201" s="3" t="str">
        <f t="shared" si="5"/>
        <v>ene</v>
      </c>
    </row>
    <row r="202" spans="1:1" x14ac:dyDescent="0.25">
      <c r="A202" s="3" t="str">
        <f t="shared" si="5"/>
        <v>ene</v>
      </c>
    </row>
    <row r="203" spans="1:1" x14ac:dyDescent="0.25">
      <c r="A203" s="3" t="str">
        <f t="shared" si="5"/>
        <v>ene</v>
      </c>
    </row>
    <row r="204" spans="1:1" x14ac:dyDescent="0.25">
      <c r="A204" s="3" t="str">
        <f t="shared" si="5"/>
        <v>ene</v>
      </c>
    </row>
    <row r="205" spans="1:1" x14ac:dyDescent="0.25">
      <c r="A205" s="3" t="str">
        <f t="shared" si="5"/>
        <v>ene</v>
      </c>
    </row>
    <row r="206" spans="1:1" x14ac:dyDescent="0.25">
      <c r="A206" s="3" t="str">
        <f t="shared" si="5"/>
        <v>ene</v>
      </c>
    </row>
    <row r="207" spans="1:1" x14ac:dyDescent="0.25">
      <c r="A207" s="3" t="str">
        <f t="shared" si="5"/>
        <v>ene</v>
      </c>
    </row>
    <row r="208" spans="1:1" x14ac:dyDescent="0.25">
      <c r="A208" s="3" t="str">
        <f t="shared" si="5"/>
        <v>ene</v>
      </c>
    </row>
    <row r="209" spans="1:1" x14ac:dyDescent="0.25">
      <c r="A209" s="3" t="str">
        <f t="shared" si="5"/>
        <v>ene</v>
      </c>
    </row>
    <row r="210" spans="1:1" x14ac:dyDescent="0.25">
      <c r="A210" s="3" t="str">
        <f t="shared" si="5"/>
        <v>ene</v>
      </c>
    </row>
    <row r="211" spans="1:1" x14ac:dyDescent="0.25">
      <c r="A211" s="3" t="str">
        <f t="shared" si="5"/>
        <v>ene</v>
      </c>
    </row>
    <row r="212" spans="1:1" x14ac:dyDescent="0.25">
      <c r="A212" s="3" t="str">
        <f t="shared" si="5"/>
        <v>ene</v>
      </c>
    </row>
    <row r="213" spans="1:1" x14ac:dyDescent="0.25">
      <c r="A213" s="3" t="str">
        <f t="shared" si="5"/>
        <v>ene</v>
      </c>
    </row>
    <row r="214" spans="1:1" x14ac:dyDescent="0.25">
      <c r="A214" s="3" t="str">
        <f t="shared" si="5"/>
        <v>ene</v>
      </c>
    </row>
    <row r="215" spans="1:1" x14ac:dyDescent="0.25">
      <c r="A215" s="3" t="str">
        <f t="shared" si="5"/>
        <v>ene</v>
      </c>
    </row>
    <row r="216" spans="1:1" x14ac:dyDescent="0.25">
      <c r="A216" s="3" t="str">
        <f t="shared" si="5"/>
        <v>ene</v>
      </c>
    </row>
    <row r="217" spans="1:1" x14ac:dyDescent="0.25">
      <c r="A217" s="3" t="str">
        <f t="shared" si="5"/>
        <v>ene</v>
      </c>
    </row>
    <row r="218" spans="1:1" x14ac:dyDescent="0.25">
      <c r="A218" s="3" t="str">
        <f t="shared" si="5"/>
        <v>ene</v>
      </c>
    </row>
    <row r="219" spans="1:1" x14ac:dyDescent="0.25">
      <c r="A219" s="3" t="str">
        <f t="shared" si="5"/>
        <v>ene</v>
      </c>
    </row>
    <row r="220" spans="1:1" x14ac:dyDescent="0.25">
      <c r="A220" s="3" t="str">
        <f t="shared" si="5"/>
        <v>ene</v>
      </c>
    </row>
    <row r="221" spans="1:1" x14ac:dyDescent="0.25">
      <c r="A221" s="3" t="str">
        <f t="shared" si="5"/>
        <v>ene</v>
      </c>
    </row>
    <row r="222" spans="1:1" x14ac:dyDescent="0.25">
      <c r="A222" s="3" t="str">
        <f t="shared" si="5"/>
        <v>ene</v>
      </c>
    </row>
    <row r="223" spans="1:1" x14ac:dyDescent="0.25">
      <c r="A223" s="3" t="str">
        <f t="shared" si="5"/>
        <v>ene</v>
      </c>
    </row>
    <row r="224" spans="1:1" x14ac:dyDescent="0.25">
      <c r="A224" s="3" t="str">
        <f t="shared" si="5"/>
        <v>ene</v>
      </c>
    </row>
    <row r="225" spans="1:1" x14ac:dyDescent="0.25">
      <c r="A225" s="3" t="str">
        <f t="shared" si="5"/>
        <v>ene</v>
      </c>
    </row>
    <row r="226" spans="1:1" x14ac:dyDescent="0.25">
      <c r="A226" s="3" t="str">
        <f t="shared" si="5"/>
        <v>ene</v>
      </c>
    </row>
    <row r="227" spans="1:1" x14ac:dyDescent="0.25">
      <c r="A227" s="3" t="str">
        <f t="shared" si="5"/>
        <v>ene</v>
      </c>
    </row>
    <row r="228" spans="1:1" x14ac:dyDescent="0.25">
      <c r="A228" s="3" t="str">
        <f t="shared" si="5"/>
        <v>ene</v>
      </c>
    </row>
    <row r="229" spans="1:1" x14ac:dyDescent="0.25">
      <c r="A229" s="3" t="str">
        <f t="shared" si="5"/>
        <v>ene</v>
      </c>
    </row>
    <row r="230" spans="1:1" x14ac:dyDescent="0.25">
      <c r="A230" s="3" t="str">
        <f t="shared" si="5"/>
        <v>ene</v>
      </c>
    </row>
    <row r="231" spans="1:1" x14ac:dyDescent="0.25">
      <c r="A231" s="3" t="str">
        <f t="shared" si="5"/>
        <v>ene</v>
      </c>
    </row>
    <row r="232" spans="1:1" x14ac:dyDescent="0.25">
      <c r="A232" s="3" t="str">
        <f t="shared" si="5"/>
        <v>ene</v>
      </c>
    </row>
    <row r="233" spans="1:1" x14ac:dyDescent="0.25">
      <c r="A233" s="3" t="str">
        <f t="shared" si="5"/>
        <v>ene</v>
      </c>
    </row>
    <row r="234" spans="1:1" x14ac:dyDescent="0.25">
      <c r="A234" s="3" t="str">
        <f t="shared" si="5"/>
        <v>ene</v>
      </c>
    </row>
    <row r="235" spans="1:1" x14ac:dyDescent="0.25">
      <c r="A235" s="3" t="str">
        <f t="shared" si="5"/>
        <v>ene</v>
      </c>
    </row>
    <row r="236" spans="1:1" x14ac:dyDescent="0.25">
      <c r="A236" s="3" t="str">
        <f t="shared" si="5"/>
        <v>ene</v>
      </c>
    </row>
    <row r="237" spans="1:1" x14ac:dyDescent="0.25">
      <c r="A237" s="3" t="str">
        <f t="shared" si="5"/>
        <v>ene</v>
      </c>
    </row>
    <row r="238" spans="1:1" x14ac:dyDescent="0.25">
      <c r="A238" s="3" t="str">
        <f t="shared" si="5"/>
        <v>ene</v>
      </c>
    </row>
    <row r="239" spans="1:1" x14ac:dyDescent="0.25">
      <c r="A239" s="3" t="str">
        <f t="shared" si="5"/>
        <v>ene</v>
      </c>
    </row>
    <row r="240" spans="1:1" x14ac:dyDescent="0.25">
      <c r="A240" s="3" t="str">
        <f t="shared" si="5"/>
        <v>ene</v>
      </c>
    </row>
    <row r="241" spans="1:1" x14ac:dyDescent="0.25">
      <c r="A241" s="3" t="str">
        <f t="shared" si="5"/>
        <v>ene</v>
      </c>
    </row>
    <row r="242" spans="1:1" x14ac:dyDescent="0.25">
      <c r="A242" s="3" t="str">
        <f t="shared" si="5"/>
        <v>ene</v>
      </c>
    </row>
    <row r="243" spans="1:1" x14ac:dyDescent="0.25">
      <c r="A243" s="3" t="str">
        <f t="shared" si="5"/>
        <v>ene</v>
      </c>
    </row>
    <row r="244" spans="1:1" x14ac:dyDescent="0.25">
      <c r="A244" s="3" t="str">
        <f t="shared" si="5"/>
        <v>ene</v>
      </c>
    </row>
    <row r="245" spans="1:1" x14ac:dyDescent="0.25">
      <c r="A245" s="3" t="str">
        <f t="shared" si="5"/>
        <v>ene</v>
      </c>
    </row>
    <row r="246" spans="1:1" x14ac:dyDescent="0.25">
      <c r="A246" s="3" t="str">
        <f t="shared" si="5"/>
        <v>ene</v>
      </c>
    </row>
    <row r="247" spans="1:1" x14ac:dyDescent="0.25">
      <c r="A247" s="3" t="str">
        <f t="shared" si="5"/>
        <v>ene</v>
      </c>
    </row>
    <row r="248" spans="1:1" x14ac:dyDescent="0.25">
      <c r="A248" s="3" t="str">
        <f t="shared" si="5"/>
        <v>ene</v>
      </c>
    </row>
    <row r="249" spans="1:1" x14ac:dyDescent="0.25">
      <c r="A249" s="3" t="str">
        <f t="shared" si="5"/>
        <v>ene</v>
      </c>
    </row>
    <row r="250" spans="1:1" x14ac:dyDescent="0.25">
      <c r="A250" s="3" t="str">
        <f t="shared" si="5"/>
        <v>ene</v>
      </c>
    </row>
    <row r="251" spans="1:1" x14ac:dyDescent="0.25">
      <c r="A251" s="3" t="str">
        <f t="shared" si="5"/>
        <v>ene</v>
      </c>
    </row>
    <row r="252" spans="1:1" x14ac:dyDescent="0.25">
      <c r="A252" s="3" t="str">
        <f t="shared" si="5"/>
        <v>ene</v>
      </c>
    </row>
    <row r="253" spans="1:1" x14ac:dyDescent="0.25">
      <c r="A253" s="3" t="str">
        <f t="shared" si="5"/>
        <v>ene</v>
      </c>
    </row>
    <row r="254" spans="1:1" x14ac:dyDescent="0.25">
      <c r="A254" s="3" t="str">
        <f t="shared" si="5"/>
        <v>ene</v>
      </c>
    </row>
    <row r="255" spans="1:1" x14ac:dyDescent="0.25">
      <c r="A255" s="3" t="str">
        <f t="shared" si="5"/>
        <v>ene</v>
      </c>
    </row>
    <row r="256" spans="1:1" x14ac:dyDescent="0.25">
      <c r="A256" s="3" t="str">
        <f t="shared" si="5"/>
        <v>ene</v>
      </c>
    </row>
    <row r="257" spans="1:1" x14ac:dyDescent="0.25">
      <c r="A257" s="3" t="str">
        <f t="shared" si="5"/>
        <v>ene</v>
      </c>
    </row>
    <row r="258" spans="1:1" x14ac:dyDescent="0.25">
      <c r="A258" s="3" t="str">
        <f t="shared" si="5"/>
        <v>ene</v>
      </c>
    </row>
    <row r="259" spans="1:1" x14ac:dyDescent="0.25">
      <c r="A259" s="3" t="str">
        <f t="shared" si="5"/>
        <v>ene</v>
      </c>
    </row>
    <row r="260" spans="1:1" x14ac:dyDescent="0.25">
      <c r="A260" s="3" t="str">
        <f t="shared" si="5"/>
        <v>ene</v>
      </c>
    </row>
    <row r="261" spans="1:1" x14ac:dyDescent="0.25">
      <c r="A261" s="3" t="str">
        <f t="shared" si="5"/>
        <v>ene</v>
      </c>
    </row>
    <row r="262" spans="1:1" x14ac:dyDescent="0.25">
      <c r="A262" s="3" t="str">
        <f t="shared" ref="A262:A325" si="6">TEXT($D262,"mmm")</f>
        <v>ene</v>
      </c>
    </row>
    <row r="263" spans="1:1" x14ac:dyDescent="0.25">
      <c r="A263" s="3" t="str">
        <f t="shared" si="6"/>
        <v>ene</v>
      </c>
    </row>
    <row r="264" spans="1:1" x14ac:dyDescent="0.25">
      <c r="A264" s="3" t="str">
        <f t="shared" si="6"/>
        <v>ene</v>
      </c>
    </row>
    <row r="265" spans="1:1" x14ac:dyDescent="0.25">
      <c r="A265" s="3" t="str">
        <f t="shared" si="6"/>
        <v>ene</v>
      </c>
    </row>
    <row r="266" spans="1:1" x14ac:dyDescent="0.25">
      <c r="A266" s="3" t="str">
        <f t="shared" si="6"/>
        <v>ene</v>
      </c>
    </row>
    <row r="267" spans="1:1" x14ac:dyDescent="0.25">
      <c r="A267" s="3" t="str">
        <f t="shared" si="6"/>
        <v>ene</v>
      </c>
    </row>
    <row r="268" spans="1:1" x14ac:dyDescent="0.25">
      <c r="A268" s="3" t="str">
        <f t="shared" si="6"/>
        <v>ene</v>
      </c>
    </row>
    <row r="269" spans="1:1" x14ac:dyDescent="0.25">
      <c r="A269" s="3" t="str">
        <f t="shared" si="6"/>
        <v>ene</v>
      </c>
    </row>
    <row r="270" spans="1:1" x14ac:dyDescent="0.25">
      <c r="A270" s="3" t="str">
        <f t="shared" si="6"/>
        <v>ene</v>
      </c>
    </row>
    <row r="271" spans="1:1" x14ac:dyDescent="0.25">
      <c r="A271" s="3" t="str">
        <f t="shared" si="6"/>
        <v>ene</v>
      </c>
    </row>
    <row r="272" spans="1:1" x14ac:dyDescent="0.25">
      <c r="A272" s="3" t="str">
        <f t="shared" si="6"/>
        <v>ene</v>
      </c>
    </row>
    <row r="273" spans="1:1" x14ac:dyDescent="0.25">
      <c r="A273" s="3" t="str">
        <f t="shared" si="6"/>
        <v>ene</v>
      </c>
    </row>
    <row r="274" spans="1:1" x14ac:dyDescent="0.25">
      <c r="A274" s="3" t="str">
        <f t="shared" si="6"/>
        <v>ene</v>
      </c>
    </row>
    <row r="275" spans="1:1" x14ac:dyDescent="0.25">
      <c r="A275" s="3" t="str">
        <f t="shared" si="6"/>
        <v>ene</v>
      </c>
    </row>
    <row r="276" spans="1:1" x14ac:dyDescent="0.25">
      <c r="A276" s="3" t="str">
        <f t="shared" si="6"/>
        <v>ene</v>
      </c>
    </row>
    <row r="277" spans="1:1" x14ac:dyDescent="0.25">
      <c r="A277" s="3" t="str">
        <f t="shared" si="6"/>
        <v>ene</v>
      </c>
    </row>
    <row r="278" spans="1:1" x14ac:dyDescent="0.25">
      <c r="A278" s="3" t="str">
        <f t="shared" si="6"/>
        <v>ene</v>
      </c>
    </row>
    <row r="279" spans="1:1" x14ac:dyDescent="0.25">
      <c r="A279" s="3" t="str">
        <f t="shared" si="6"/>
        <v>ene</v>
      </c>
    </row>
    <row r="280" spans="1:1" x14ac:dyDescent="0.25">
      <c r="A280" s="3" t="str">
        <f t="shared" si="6"/>
        <v>ene</v>
      </c>
    </row>
    <row r="281" spans="1:1" x14ac:dyDescent="0.25">
      <c r="A281" s="3" t="str">
        <f t="shared" si="6"/>
        <v>ene</v>
      </c>
    </row>
    <row r="282" spans="1:1" x14ac:dyDescent="0.25">
      <c r="A282" s="3" t="str">
        <f t="shared" si="6"/>
        <v>ene</v>
      </c>
    </row>
    <row r="283" spans="1:1" x14ac:dyDescent="0.25">
      <c r="A283" s="3" t="str">
        <f t="shared" si="6"/>
        <v>ene</v>
      </c>
    </row>
    <row r="284" spans="1:1" x14ac:dyDescent="0.25">
      <c r="A284" s="3" t="str">
        <f t="shared" si="6"/>
        <v>ene</v>
      </c>
    </row>
    <row r="285" spans="1:1" x14ac:dyDescent="0.25">
      <c r="A285" s="3" t="str">
        <f t="shared" si="6"/>
        <v>ene</v>
      </c>
    </row>
    <row r="286" spans="1:1" x14ac:dyDescent="0.25">
      <c r="A286" s="3" t="str">
        <f t="shared" si="6"/>
        <v>ene</v>
      </c>
    </row>
    <row r="287" spans="1:1" x14ac:dyDescent="0.25">
      <c r="A287" s="3" t="str">
        <f t="shared" si="6"/>
        <v>ene</v>
      </c>
    </row>
    <row r="288" spans="1:1" x14ac:dyDescent="0.25">
      <c r="A288" s="3" t="str">
        <f t="shared" si="6"/>
        <v>ene</v>
      </c>
    </row>
    <row r="289" spans="1:1" x14ac:dyDescent="0.25">
      <c r="A289" s="3" t="str">
        <f t="shared" si="6"/>
        <v>ene</v>
      </c>
    </row>
    <row r="290" spans="1:1" x14ac:dyDescent="0.25">
      <c r="A290" s="3" t="str">
        <f t="shared" si="6"/>
        <v>ene</v>
      </c>
    </row>
    <row r="291" spans="1:1" x14ac:dyDescent="0.25">
      <c r="A291" s="3" t="str">
        <f t="shared" si="6"/>
        <v>ene</v>
      </c>
    </row>
    <row r="292" spans="1:1" x14ac:dyDescent="0.25">
      <c r="A292" s="3" t="str">
        <f t="shared" si="6"/>
        <v>ene</v>
      </c>
    </row>
    <row r="293" spans="1:1" x14ac:dyDescent="0.25">
      <c r="A293" s="3" t="str">
        <f t="shared" si="6"/>
        <v>ene</v>
      </c>
    </row>
    <row r="294" spans="1:1" x14ac:dyDescent="0.25">
      <c r="A294" s="3" t="str">
        <f t="shared" si="6"/>
        <v>ene</v>
      </c>
    </row>
    <row r="295" spans="1:1" x14ac:dyDescent="0.25">
      <c r="A295" s="3" t="str">
        <f t="shared" si="6"/>
        <v>ene</v>
      </c>
    </row>
    <row r="296" spans="1:1" x14ac:dyDescent="0.25">
      <c r="A296" s="3" t="str">
        <f t="shared" si="6"/>
        <v>ene</v>
      </c>
    </row>
    <row r="297" spans="1:1" x14ac:dyDescent="0.25">
      <c r="A297" s="3" t="str">
        <f t="shared" si="6"/>
        <v>ene</v>
      </c>
    </row>
    <row r="298" spans="1:1" x14ac:dyDescent="0.25">
      <c r="A298" s="3" t="str">
        <f t="shared" si="6"/>
        <v>ene</v>
      </c>
    </row>
    <row r="299" spans="1:1" x14ac:dyDescent="0.25">
      <c r="A299" s="3" t="str">
        <f t="shared" si="6"/>
        <v>ene</v>
      </c>
    </row>
    <row r="300" spans="1:1" x14ac:dyDescent="0.25">
      <c r="A300" s="3" t="str">
        <f t="shared" si="6"/>
        <v>ene</v>
      </c>
    </row>
    <row r="301" spans="1:1" x14ac:dyDescent="0.25">
      <c r="A301" s="3" t="str">
        <f t="shared" si="6"/>
        <v>ene</v>
      </c>
    </row>
    <row r="302" spans="1:1" x14ac:dyDescent="0.25">
      <c r="A302" s="3" t="str">
        <f t="shared" si="6"/>
        <v>ene</v>
      </c>
    </row>
    <row r="303" spans="1:1" x14ac:dyDescent="0.25">
      <c r="A303" s="3" t="str">
        <f t="shared" si="6"/>
        <v>ene</v>
      </c>
    </row>
    <row r="304" spans="1:1" x14ac:dyDescent="0.25">
      <c r="A304" s="3" t="str">
        <f t="shared" si="6"/>
        <v>ene</v>
      </c>
    </row>
    <row r="305" spans="1:1" x14ac:dyDescent="0.25">
      <c r="A305" s="3" t="str">
        <f t="shared" si="6"/>
        <v>ene</v>
      </c>
    </row>
    <row r="306" spans="1:1" x14ac:dyDescent="0.25">
      <c r="A306" s="3" t="str">
        <f t="shared" si="6"/>
        <v>ene</v>
      </c>
    </row>
    <row r="307" spans="1:1" x14ac:dyDescent="0.25">
      <c r="A307" s="3" t="str">
        <f t="shared" si="6"/>
        <v>ene</v>
      </c>
    </row>
    <row r="308" spans="1:1" x14ac:dyDescent="0.25">
      <c r="A308" s="3" t="str">
        <f t="shared" si="6"/>
        <v>ene</v>
      </c>
    </row>
    <row r="309" spans="1:1" x14ac:dyDescent="0.25">
      <c r="A309" s="3" t="str">
        <f t="shared" si="6"/>
        <v>ene</v>
      </c>
    </row>
    <row r="310" spans="1:1" x14ac:dyDescent="0.25">
      <c r="A310" s="3" t="str">
        <f t="shared" si="6"/>
        <v>ene</v>
      </c>
    </row>
    <row r="311" spans="1:1" x14ac:dyDescent="0.25">
      <c r="A311" s="3" t="str">
        <f t="shared" si="6"/>
        <v>ene</v>
      </c>
    </row>
    <row r="312" spans="1:1" x14ac:dyDescent="0.25">
      <c r="A312" s="3" t="str">
        <f t="shared" si="6"/>
        <v>ene</v>
      </c>
    </row>
    <row r="313" spans="1:1" x14ac:dyDescent="0.25">
      <c r="A313" s="3" t="str">
        <f t="shared" si="6"/>
        <v>ene</v>
      </c>
    </row>
    <row r="314" spans="1:1" x14ac:dyDescent="0.25">
      <c r="A314" s="3" t="str">
        <f t="shared" si="6"/>
        <v>ene</v>
      </c>
    </row>
    <row r="315" spans="1:1" x14ac:dyDescent="0.25">
      <c r="A315" s="3" t="str">
        <f t="shared" si="6"/>
        <v>ene</v>
      </c>
    </row>
    <row r="316" spans="1:1" x14ac:dyDescent="0.25">
      <c r="A316" s="3" t="str">
        <f t="shared" si="6"/>
        <v>ene</v>
      </c>
    </row>
    <row r="317" spans="1:1" x14ac:dyDescent="0.25">
      <c r="A317" s="3" t="str">
        <f t="shared" si="6"/>
        <v>ene</v>
      </c>
    </row>
    <row r="318" spans="1:1" x14ac:dyDescent="0.25">
      <c r="A318" s="3" t="str">
        <f t="shared" si="6"/>
        <v>ene</v>
      </c>
    </row>
    <row r="319" spans="1:1" x14ac:dyDescent="0.25">
      <c r="A319" s="3" t="str">
        <f t="shared" si="6"/>
        <v>ene</v>
      </c>
    </row>
    <row r="320" spans="1:1" x14ac:dyDescent="0.25">
      <c r="A320" s="3" t="str">
        <f t="shared" si="6"/>
        <v>ene</v>
      </c>
    </row>
    <row r="321" spans="1:1" x14ac:dyDescent="0.25">
      <c r="A321" s="3" t="str">
        <f t="shared" si="6"/>
        <v>ene</v>
      </c>
    </row>
    <row r="322" spans="1:1" x14ac:dyDescent="0.25">
      <c r="A322" s="3" t="str">
        <f t="shared" si="6"/>
        <v>ene</v>
      </c>
    </row>
    <row r="323" spans="1:1" x14ac:dyDescent="0.25">
      <c r="A323" s="3" t="str">
        <f t="shared" si="6"/>
        <v>ene</v>
      </c>
    </row>
    <row r="324" spans="1:1" x14ac:dyDescent="0.25">
      <c r="A324" s="3" t="str">
        <f t="shared" si="6"/>
        <v>ene</v>
      </c>
    </row>
    <row r="325" spans="1:1" x14ac:dyDescent="0.25">
      <c r="A325" s="3" t="str">
        <f t="shared" si="6"/>
        <v>ene</v>
      </c>
    </row>
    <row r="326" spans="1:1" x14ac:dyDescent="0.25">
      <c r="A326" s="3" t="str">
        <f t="shared" ref="A326:A389" si="7">TEXT($D326,"mmm")</f>
        <v>ene</v>
      </c>
    </row>
    <row r="327" spans="1:1" x14ac:dyDescent="0.25">
      <c r="A327" s="3" t="str">
        <f t="shared" si="7"/>
        <v>ene</v>
      </c>
    </row>
    <row r="328" spans="1:1" x14ac:dyDescent="0.25">
      <c r="A328" s="3" t="str">
        <f t="shared" si="7"/>
        <v>ene</v>
      </c>
    </row>
    <row r="329" spans="1:1" x14ac:dyDescent="0.25">
      <c r="A329" s="3" t="str">
        <f t="shared" si="7"/>
        <v>ene</v>
      </c>
    </row>
    <row r="330" spans="1:1" x14ac:dyDescent="0.25">
      <c r="A330" s="3" t="str">
        <f t="shared" si="7"/>
        <v>ene</v>
      </c>
    </row>
    <row r="331" spans="1:1" x14ac:dyDescent="0.25">
      <c r="A331" s="3" t="str">
        <f t="shared" si="7"/>
        <v>ene</v>
      </c>
    </row>
    <row r="332" spans="1:1" x14ac:dyDescent="0.25">
      <c r="A332" s="3" t="str">
        <f t="shared" si="7"/>
        <v>ene</v>
      </c>
    </row>
    <row r="333" spans="1:1" x14ac:dyDescent="0.25">
      <c r="A333" s="3" t="str">
        <f t="shared" si="7"/>
        <v>ene</v>
      </c>
    </row>
    <row r="334" spans="1:1" x14ac:dyDescent="0.25">
      <c r="A334" s="3" t="str">
        <f t="shared" si="7"/>
        <v>ene</v>
      </c>
    </row>
    <row r="335" spans="1:1" x14ac:dyDescent="0.25">
      <c r="A335" s="3" t="str">
        <f t="shared" si="7"/>
        <v>ene</v>
      </c>
    </row>
    <row r="336" spans="1:1" x14ac:dyDescent="0.25">
      <c r="A336" s="3" t="str">
        <f t="shared" si="7"/>
        <v>ene</v>
      </c>
    </row>
    <row r="337" spans="1:1" x14ac:dyDescent="0.25">
      <c r="A337" s="3" t="str">
        <f t="shared" si="7"/>
        <v>ene</v>
      </c>
    </row>
    <row r="338" spans="1:1" x14ac:dyDescent="0.25">
      <c r="A338" s="3" t="str">
        <f t="shared" si="7"/>
        <v>ene</v>
      </c>
    </row>
    <row r="339" spans="1:1" x14ac:dyDescent="0.25">
      <c r="A339" s="3" t="str">
        <f t="shared" si="7"/>
        <v>ene</v>
      </c>
    </row>
    <row r="340" spans="1:1" x14ac:dyDescent="0.25">
      <c r="A340" s="3" t="str">
        <f t="shared" si="7"/>
        <v>ene</v>
      </c>
    </row>
    <row r="341" spans="1:1" x14ac:dyDescent="0.25">
      <c r="A341" s="3" t="str">
        <f t="shared" si="7"/>
        <v>ene</v>
      </c>
    </row>
    <row r="342" spans="1:1" x14ac:dyDescent="0.25">
      <c r="A342" s="3" t="str">
        <f t="shared" si="7"/>
        <v>ene</v>
      </c>
    </row>
    <row r="343" spans="1:1" x14ac:dyDescent="0.25">
      <c r="A343" s="3" t="str">
        <f t="shared" si="7"/>
        <v>ene</v>
      </c>
    </row>
    <row r="344" spans="1:1" x14ac:dyDescent="0.25">
      <c r="A344" s="3" t="str">
        <f t="shared" si="7"/>
        <v>ene</v>
      </c>
    </row>
    <row r="345" spans="1:1" x14ac:dyDescent="0.25">
      <c r="A345" s="3" t="str">
        <f t="shared" si="7"/>
        <v>ene</v>
      </c>
    </row>
    <row r="346" spans="1:1" x14ac:dyDescent="0.25">
      <c r="A346" s="3" t="str">
        <f t="shared" si="7"/>
        <v>ene</v>
      </c>
    </row>
    <row r="347" spans="1:1" x14ac:dyDescent="0.25">
      <c r="A347" s="3" t="str">
        <f t="shared" si="7"/>
        <v>ene</v>
      </c>
    </row>
    <row r="348" spans="1:1" x14ac:dyDescent="0.25">
      <c r="A348" s="3" t="str">
        <f t="shared" si="7"/>
        <v>ene</v>
      </c>
    </row>
    <row r="349" spans="1:1" x14ac:dyDescent="0.25">
      <c r="A349" s="3" t="str">
        <f t="shared" si="7"/>
        <v>ene</v>
      </c>
    </row>
    <row r="350" spans="1:1" x14ac:dyDescent="0.25">
      <c r="A350" s="3" t="str">
        <f t="shared" si="7"/>
        <v>ene</v>
      </c>
    </row>
    <row r="351" spans="1:1" x14ac:dyDescent="0.25">
      <c r="A351" s="3" t="str">
        <f t="shared" si="7"/>
        <v>ene</v>
      </c>
    </row>
    <row r="352" spans="1:1" x14ac:dyDescent="0.25">
      <c r="A352" s="3" t="str">
        <f t="shared" si="7"/>
        <v>ene</v>
      </c>
    </row>
    <row r="353" spans="1:1" x14ac:dyDescent="0.25">
      <c r="A353" s="3" t="str">
        <f t="shared" si="7"/>
        <v>ene</v>
      </c>
    </row>
    <row r="354" spans="1:1" x14ac:dyDescent="0.25">
      <c r="A354" s="3" t="str">
        <f t="shared" si="7"/>
        <v>ene</v>
      </c>
    </row>
    <row r="355" spans="1:1" x14ac:dyDescent="0.25">
      <c r="A355" s="3" t="str">
        <f t="shared" si="7"/>
        <v>ene</v>
      </c>
    </row>
    <row r="356" spans="1:1" x14ac:dyDescent="0.25">
      <c r="A356" s="3" t="str">
        <f t="shared" si="7"/>
        <v>ene</v>
      </c>
    </row>
    <row r="357" spans="1:1" x14ac:dyDescent="0.25">
      <c r="A357" s="3" t="str">
        <f t="shared" si="7"/>
        <v>ene</v>
      </c>
    </row>
    <row r="358" spans="1:1" x14ac:dyDescent="0.25">
      <c r="A358" s="3" t="str">
        <f t="shared" si="7"/>
        <v>ene</v>
      </c>
    </row>
    <row r="359" spans="1:1" x14ac:dyDescent="0.25">
      <c r="A359" s="3" t="str">
        <f t="shared" si="7"/>
        <v>ene</v>
      </c>
    </row>
    <row r="360" spans="1:1" x14ac:dyDescent="0.25">
      <c r="A360" s="3" t="str">
        <f t="shared" si="7"/>
        <v>ene</v>
      </c>
    </row>
    <row r="361" spans="1:1" x14ac:dyDescent="0.25">
      <c r="A361" s="3" t="str">
        <f t="shared" si="7"/>
        <v>ene</v>
      </c>
    </row>
    <row r="362" spans="1:1" x14ac:dyDescent="0.25">
      <c r="A362" s="3" t="str">
        <f t="shared" si="7"/>
        <v>ene</v>
      </c>
    </row>
    <row r="363" spans="1:1" x14ac:dyDescent="0.25">
      <c r="A363" s="3" t="str">
        <f t="shared" si="7"/>
        <v>ene</v>
      </c>
    </row>
    <row r="364" spans="1:1" x14ac:dyDescent="0.25">
      <c r="A364" s="3" t="str">
        <f t="shared" si="7"/>
        <v>ene</v>
      </c>
    </row>
    <row r="365" spans="1:1" x14ac:dyDescent="0.25">
      <c r="A365" s="3" t="str">
        <f t="shared" si="7"/>
        <v>ene</v>
      </c>
    </row>
    <row r="366" spans="1:1" x14ac:dyDescent="0.25">
      <c r="A366" s="3" t="str">
        <f t="shared" si="7"/>
        <v>ene</v>
      </c>
    </row>
    <row r="367" spans="1:1" x14ac:dyDescent="0.25">
      <c r="A367" s="3" t="str">
        <f t="shared" si="7"/>
        <v>ene</v>
      </c>
    </row>
    <row r="368" spans="1:1" x14ac:dyDescent="0.25">
      <c r="A368" s="3" t="str">
        <f t="shared" si="7"/>
        <v>ene</v>
      </c>
    </row>
    <row r="369" spans="1:1" x14ac:dyDescent="0.25">
      <c r="A369" s="3" t="str">
        <f t="shared" si="7"/>
        <v>ene</v>
      </c>
    </row>
    <row r="370" spans="1:1" x14ac:dyDescent="0.25">
      <c r="A370" s="3" t="str">
        <f t="shared" si="7"/>
        <v>ene</v>
      </c>
    </row>
    <row r="371" spans="1:1" x14ac:dyDescent="0.25">
      <c r="A371" s="3" t="str">
        <f t="shared" si="7"/>
        <v>ene</v>
      </c>
    </row>
    <row r="372" spans="1:1" x14ac:dyDescent="0.25">
      <c r="A372" s="3" t="str">
        <f t="shared" si="7"/>
        <v>ene</v>
      </c>
    </row>
    <row r="373" spans="1:1" x14ac:dyDescent="0.25">
      <c r="A373" s="3" t="str">
        <f t="shared" si="7"/>
        <v>ene</v>
      </c>
    </row>
    <row r="374" spans="1:1" x14ac:dyDescent="0.25">
      <c r="A374" s="3" t="str">
        <f t="shared" si="7"/>
        <v>ene</v>
      </c>
    </row>
    <row r="375" spans="1:1" x14ac:dyDescent="0.25">
      <c r="A375" s="3" t="str">
        <f t="shared" si="7"/>
        <v>ene</v>
      </c>
    </row>
    <row r="376" spans="1:1" x14ac:dyDescent="0.25">
      <c r="A376" s="3" t="str">
        <f t="shared" si="7"/>
        <v>ene</v>
      </c>
    </row>
    <row r="377" spans="1:1" x14ac:dyDescent="0.25">
      <c r="A377" s="3" t="str">
        <f t="shared" si="7"/>
        <v>ene</v>
      </c>
    </row>
    <row r="378" spans="1:1" x14ac:dyDescent="0.25">
      <c r="A378" s="3" t="str">
        <f t="shared" si="7"/>
        <v>ene</v>
      </c>
    </row>
    <row r="379" spans="1:1" x14ac:dyDescent="0.25">
      <c r="A379" s="3" t="str">
        <f t="shared" si="7"/>
        <v>ene</v>
      </c>
    </row>
    <row r="380" spans="1:1" x14ac:dyDescent="0.25">
      <c r="A380" s="3" t="str">
        <f t="shared" si="7"/>
        <v>ene</v>
      </c>
    </row>
    <row r="381" spans="1:1" x14ac:dyDescent="0.25">
      <c r="A381" s="3" t="str">
        <f t="shared" si="7"/>
        <v>ene</v>
      </c>
    </row>
    <row r="382" spans="1:1" x14ac:dyDescent="0.25">
      <c r="A382" s="3" t="str">
        <f t="shared" si="7"/>
        <v>ene</v>
      </c>
    </row>
    <row r="383" spans="1:1" x14ac:dyDescent="0.25">
      <c r="A383" s="3" t="str">
        <f t="shared" si="7"/>
        <v>ene</v>
      </c>
    </row>
    <row r="384" spans="1:1" x14ac:dyDescent="0.25">
      <c r="A384" s="3" t="str">
        <f t="shared" si="7"/>
        <v>ene</v>
      </c>
    </row>
    <row r="385" spans="1:1" x14ac:dyDescent="0.25">
      <c r="A385" s="3" t="str">
        <f t="shared" si="7"/>
        <v>ene</v>
      </c>
    </row>
    <row r="386" spans="1:1" x14ac:dyDescent="0.25">
      <c r="A386" s="3" t="str">
        <f t="shared" si="7"/>
        <v>ene</v>
      </c>
    </row>
    <row r="387" spans="1:1" x14ac:dyDescent="0.25">
      <c r="A387" s="3" t="str">
        <f t="shared" si="7"/>
        <v>ene</v>
      </c>
    </row>
    <row r="388" spans="1:1" x14ac:dyDescent="0.25">
      <c r="A388" s="3" t="str">
        <f t="shared" si="7"/>
        <v>ene</v>
      </c>
    </row>
    <row r="389" spans="1:1" x14ac:dyDescent="0.25">
      <c r="A389" s="3" t="str">
        <f t="shared" si="7"/>
        <v>ene</v>
      </c>
    </row>
    <row r="390" spans="1:1" x14ac:dyDescent="0.25">
      <c r="A390" s="3" t="str">
        <f t="shared" ref="A390:A453" si="8">TEXT($D390,"mmm")</f>
        <v>ene</v>
      </c>
    </row>
    <row r="391" spans="1:1" x14ac:dyDescent="0.25">
      <c r="A391" s="3" t="str">
        <f t="shared" si="8"/>
        <v>ene</v>
      </c>
    </row>
    <row r="392" spans="1:1" x14ac:dyDescent="0.25">
      <c r="A392" s="3" t="str">
        <f t="shared" si="8"/>
        <v>ene</v>
      </c>
    </row>
    <row r="393" spans="1:1" x14ac:dyDescent="0.25">
      <c r="A393" s="3" t="str">
        <f t="shared" si="8"/>
        <v>ene</v>
      </c>
    </row>
    <row r="394" spans="1:1" x14ac:dyDescent="0.25">
      <c r="A394" s="3" t="str">
        <f t="shared" si="8"/>
        <v>ene</v>
      </c>
    </row>
    <row r="395" spans="1:1" x14ac:dyDescent="0.25">
      <c r="A395" s="3" t="str">
        <f t="shared" si="8"/>
        <v>ene</v>
      </c>
    </row>
    <row r="396" spans="1:1" x14ac:dyDescent="0.25">
      <c r="A396" s="3" t="str">
        <f t="shared" si="8"/>
        <v>ene</v>
      </c>
    </row>
    <row r="397" spans="1:1" x14ac:dyDescent="0.25">
      <c r="A397" s="3" t="str">
        <f t="shared" si="8"/>
        <v>ene</v>
      </c>
    </row>
    <row r="398" spans="1:1" x14ac:dyDescent="0.25">
      <c r="A398" s="3" t="str">
        <f t="shared" si="8"/>
        <v>ene</v>
      </c>
    </row>
    <row r="399" spans="1:1" x14ac:dyDescent="0.25">
      <c r="A399" s="3" t="str">
        <f t="shared" si="8"/>
        <v>ene</v>
      </c>
    </row>
    <row r="400" spans="1:1" x14ac:dyDescent="0.25">
      <c r="A400" s="3" t="str">
        <f t="shared" si="8"/>
        <v>ene</v>
      </c>
    </row>
    <row r="401" spans="1:1" x14ac:dyDescent="0.25">
      <c r="A401" s="3" t="str">
        <f t="shared" si="8"/>
        <v>ene</v>
      </c>
    </row>
    <row r="402" spans="1:1" x14ac:dyDescent="0.25">
      <c r="A402" s="3" t="str">
        <f t="shared" si="8"/>
        <v>ene</v>
      </c>
    </row>
    <row r="403" spans="1:1" x14ac:dyDescent="0.25">
      <c r="A403" s="3" t="str">
        <f t="shared" si="8"/>
        <v>ene</v>
      </c>
    </row>
    <row r="404" spans="1:1" x14ac:dyDescent="0.25">
      <c r="A404" s="3" t="str">
        <f t="shared" si="8"/>
        <v>ene</v>
      </c>
    </row>
    <row r="405" spans="1:1" x14ac:dyDescent="0.25">
      <c r="A405" s="3" t="str">
        <f t="shared" si="8"/>
        <v>ene</v>
      </c>
    </row>
    <row r="406" spans="1:1" x14ac:dyDescent="0.25">
      <c r="A406" s="3" t="str">
        <f t="shared" si="8"/>
        <v>ene</v>
      </c>
    </row>
    <row r="407" spans="1:1" x14ac:dyDescent="0.25">
      <c r="A407" s="3" t="str">
        <f t="shared" si="8"/>
        <v>ene</v>
      </c>
    </row>
    <row r="408" spans="1:1" x14ac:dyDescent="0.25">
      <c r="A408" s="3" t="str">
        <f t="shared" si="8"/>
        <v>ene</v>
      </c>
    </row>
    <row r="409" spans="1:1" x14ac:dyDescent="0.25">
      <c r="A409" s="3" t="str">
        <f t="shared" si="8"/>
        <v>ene</v>
      </c>
    </row>
    <row r="410" spans="1:1" x14ac:dyDescent="0.25">
      <c r="A410" s="3" t="str">
        <f t="shared" si="8"/>
        <v>ene</v>
      </c>
    </row>
    <row r="411" spans="1:1" x14ac:dyDescent="0.25">
      <c r="A411" s="3" t="str">
        <f t="shared" si="8"/>
        <v>ene</v>
      </c>
    </row>
    <row r="412" spans="1:1" x14ac:dyDescent="0.25">
      <c r="A412" s="3" t="str">
        <f t="shared" si="8"/>
        <v>ene</v>
      </c>
    </row>
    <row r="413" spans="1:1" x14ac:dyDescent="0.25">
      <c r="A413" s="3" t="str">
        <f t="shared" si="8"/>
        <v>ene</v>
      </c>
    </row>
    <row r="414" spans="1:1" x14ac:dyDescent="0.25">
      <c r="A414" s="3" t="str">
        <f t="shared" si="8"/>
        <v>ene</v>
      </c>
    </row>
    <row r="415" spans="1:1" x14ac:dyDescent="0.25">
      <c r="A415" s="3" t="str">
        <f t="shared" si="8"/>
        <v>ene</v>
      </c>
    </row>
    <row r="416" spans="1:1" x14ac:dyDescent="0.25">
      <c r="A416" s="3" t="str">
        <f t="shared" si="8"/>
        <v>ene</v>
      </c>
    </row>
    <row r="417" spans="1:1" x14ac:dyDescent="0.25">
      <c r="A417" s="3" t="str">
        <f t="shared" si="8"/>
        <v>ene</v>
      </c>
    </row>
    <row r="418" spans="1:1" x14ac:dyDescent="0.25">
      <c r="A418" s="3" t="str">
        <f t="shared" si="8"/>
        <v>ene</v>
      </c>
    </row>
    <row r="419" spans="1:1" x14ac:dyDescent="0.25">
      <c r="A419" s="3" t="str">
        <f t="shared" si="8"/>
        <v>ene</v>
      </c>
    </row>
    <row r="420" spans="1:1" x14ac:dyDescent="0.25">
      <c r="A420" s="3" t="str">
        <f t="shared" si="8"/>
        <v>ene</v>
      </c>
    </row>
    <row r="421" spans="1:1" x14ac:dyDescent="0.25">
      <c r="A421" s="3" t="str">
        <f t="shared" si="8"/>
        <v>ene</v>
      </c>
    </row>
    <row r="422" spans="1:1" x14ac:dyDescent="0.25">
      <c r="A422" s="3" t="str">
        <f t="shared" si="8"/>
        <v>ene</v>
      </c>
    </row>
    <row r="423" spans="1:1" x14ac:dyDescent="0.25">
      <c r="A423" s="3" t="str">
        <f t="shared" si="8"/>
        <v>ene</v>
      </c>
    </row>
    <row r="424" spans="1:1" x14ac:dyDescent="0.25">
      <c r="A424" s="3" t="str">
        <f t="shared" si="8"/>
        <v>ene</v>
      </c>
    </row>
    <row r="425" spans="1:1" x14ac:dyDescent="0.25">
      <c r="A425" s="3" t="str">
        <f t="shared" si="8"/>
        <v>ene</v>
      </c>
    </row>
    <row r="426" spans="1:1" x14ac:dyDescent="0.25">
      <c r="A426" s="3" t="str">
        <f t="shared" si="8"/>
        <v>ene</v>
      </c>
    </row>
    <row r="427" spans="1:1" x14ac:dyDescent="0.25">
      <c r="A427" s="3" t="str">
        <f t="shared" si="8"/>
        <v>ene</v>
      </c>
    </row>
    <row r="428" spans="1:1" x14ac:dyDescent="0.25">
      <c r="A428" s="3" t="str">
        <f t="shared" si="8"/>
        <v>ene</v>
      </c>
    </row>
    <row r="429" spans="1:1" x14ac:dyDescent="0.25">
      <c r="A429" s="3" t="str">
        <f t="shared" si="8"/>
        <v>ene</v>
      </c>
    </row>
    <row r="430" spans="1:1" x14ac:dyDescent="0.25">
      <c r="A430" s="3" t="str">
        <f t="shared" si="8"/>
        <v>ene</v>
      </c>
    </row>
    <row r="431" spans="1:1" x14ac:dyDescent="0.25">
      <c r="A431" s="3" t="str">
        <f t="shared" si="8"/>
        <v>ene</v>
      </c>
    </row>
    <row r="432" spans="1:1" x14ac:dyDescent="0.25">
      <c r="A432" s="3" t="str">
        <f t="shared" si="8"/>
        <v>ene</v>
      </c>
    </row>
    <row r="433" spans="1:1" x14ac:dyDescent="0.25">
      <c r="A433" s="3" t="str">
        <f t="shared" si="8"/>
        <v>ene</v>
      </c>
    </row>
    <row r="434" spans="1:1" x14ac:dyDescent="0.25">
      <c r="A434" s="3" t="str">
        <f t="shared" si="8"/>
        <v>ene</v>
      </c>
    </row>
    <row r="435" spans="1:1" x14ac:dyDescent="0.25">
      <c r="A435" s="3" t="str">
        <f t="shared" si="8"/>
        <v>ene</v>
      </c>
    </row>
    <row r="436" spans="1:1" x14ac:dyDescent="0.25">
      <c r="A436" s="3" t="str">
        <f t="shared" si="8"/>
        <v>ene</v>
      </c>
    </row>
    <row r="437" spans="1:1" x14ac:dyDescent="0.25">
      <c r="A437" s="3" t="str">
        <f t="shared" si="8"/>
        <v>ene</v>
      </c>
    </row>
    <row r="438" spans="1:1" x14ac:dyDescent="0.25">
      <c r="A438" s="3" t="str">
        <f t="shared" si="8"/>
        <v>ene</v>
      </c>
    </row>
    <row r="439" spans="1:1" x14ac:dyDescent="0.25">
      <c r="A439" s="3" t="str">
        <f t="shared" si="8"/>
        <v>ene</v>
      </c>
    </row>
    <row r="440" spans="1:1" x14ac:dyDescent="0.25">
      <c r="A440" s="3" t="str">
        <f t="shared" si="8"/>
        <v>ene</v>
      </c>
    </row>
    <row r="441" spans="1:1" x14ac:dyDescent="0.25">
      <c r="A441" s="3" t="str">
        <f t="shared" si="8"/>
        <v>ene</v>
      </c>
    </row>
    <row r="442" spans="1:1" x14ac:dyDescent="0.25">
      <c r="A442" s="3" t="str">
        <f t="shared" si="8"/>
        <v>ene</v>
      </c>
    </row>
    <row r="443" spans="1:1" x14ac:dyDescent="0.25">
      <c r="A443" s="3" t="str">
        <f t="shared" si="8"/>
        <v>ene</v>
      </c>
    </row>
    <row r="444" spans="1:1" x14ac:dyDescent="0.25">
      <c r="A444" s="3" t="str">
        <f t="shared" si="8"/>
        <v>ene</v>
      </c>
    </row>
    <row r="445" spans="1:1" x14ac:dyDescent="0.25">
      <c r="A445" s="3" t="str">
        <f t="shared" si="8"/>
        <v>ene</v>
      </c>
    </row>
    <row r="446" spans="1:1" x14ac:dyDescent="0.25">
      <c r="A446" s="3" t="str">
        <f t="shared" si="8"/>
        <v>ene</v>
      </c>
    </row>
    <row r="447" spans="1:1" x14ac:dyDescent="0.25">
      <c r="A447" s="3" t="str">
        <f t="shared" si="8"/>
        <v>ene</v>
      </c>
    </row>
    <row r="448" spans="1:1" x14ac:dyDescent="0.25">
      <c r="A448" s="3" t="str">
        <f t="shared" si="8"/>
        <v>ene</v>
      </c>
    </row>
    <row r="449" spans="1:1" x14ac:dyDescent="0.25">
      <c r="A449" s="3" t="str">
        <f t="shared" si="8"/>
        <v>ene</v>
      </c>
    </row>
    <row r="450" spans="1:1" x14ac:dyDescent="0.25">
      <c r="A450" s="3" t="str">
        <f t="shared" si="8"/>
        <v>ene</v>
      </c>
    </row>
    <row r="451" spans="1:1" x14ac:dyDescent="0.25">
      <c r="A451" s="3" t="str">
        <f t="shared" si="8"/>
        <v>ene</v>
      </c>
    </row>
    <row r="452" spans="1:1" x14ac:dyDescent="0.25">
      <c r="A452" s="3" t="str">
        <f t="shared" si="8"/>
        <v>ene</v>
      </c>
    </row>
    <row r="453" spans="1:1" x14ac:dyDescent="0.25">
      <c r="A453" s="3" t="str">
        <f t="shared" si="8"/>
        <v>ene</v>
      </c>
    </row>
    <row r="454" spans="1:1" x14ac:dyDescent="0.25">
      <c r="A454" s="3" t="str">
        <f t="shared" ref="A454:A457" si="9">TEXT($D454,"mmm")</f>
        <v>ene</v>
      </c>
    </row>
    <row r="455" spans="1:1" x14ac:dyDescent="0.25">
      <c r="A455" s="3" t="str">
        <f t="shared" si="9"/>
        <v>ene</v>
      </c>
    </row>
    <row r="456" spans="1:1" x14ac:dyDescent="0.25">
      <c r="A456" s="3" t="str">
        <f t="shared" si="9"/>
        <v>ene</v>
      </c>
    </row>
    <row r="457" spans="1:1" x14ac:dyDescent="0.25">
      <c r="A457" s="3" t="str">
        <f t="shared" si="9"/>
        <v>ene</v>
      </c>
    </row>
  </sheetData>
  <mergeCells count="2">
    <mergeCell ref="B1:H1"/>
    <mergeCell ref="J1:P1"/>
  </mergeCells>
  <conditionalFormatting sqref="L3:L56">
    <cfRule type="cellIs" dxfId="17" priority="19" operator="equal">
      <formula>"AL DIA (MENOS 10 DIAS)"</formula>
    </cfRule>
    <cfRule type="cellIs" dxfId="16" priority="20" operator="equal">
      <formula>"POR REALIZAR(ALERTA)"</formula>
    </cfRule>
    <cfRule type="cellIs" dxfId="15" priority="21" operator="equal">
      <formula>"POR REALIAR(ALERTA)"</formula>
    </cfRule>
    <cfRule type="cellIs" dxfId="14" priority="22" operator="equal">
      <formula>"CRITICO(MAS 30 DIAS)"</formula>
    </cfRule>
    <cfRule type="cellIs" dxfId="13" priority="23" operator="equal">
      <formula>"POR REALIZAR (ALERTA)"</formula>
    </cfRule>
    <cfRule type="cellIs" dxfId="12" priority="24" operator="equal">
      <formula>$M$4</formula>
    </cfRule>
    <cfRule type="cellIs" dxfId="11" priority="25" operator="equal">
      <formula>$M$3</formula>
    </cfRule>
    <cfRule type="cellIs" dxfId="10" priority="26" operator="equal">
      <formula>"INVENTARIADO"</formula>
    </cfRule>
    <cfRule type="cellIs" dxfId="9" priority="27" operator="equal">
      <formula>"PENDIENTE"</formula>
    </cfRule>
  </conditionalFormatting>
  <conditionalFormatting sqref="O2:P2">
    <cfRule type="cellIs" dxfId="8" priority="1" operator="equal">
      <formula>"AL DIA (MENOS 10 DIAS)"</formula>
    </cfRule>
    <cfRule type="cellIs" dxfId="7" priority="2" operator="equal">
      <formula>"POR REALIZAR(ALERTA)"</formula>
    </cfRule>
    <cfRule type="cellIs" dxfId="6" priority="3" operator="equal">
      <formula>"POR REALIAR(ALERTA)"</formula>
    </cfRule>
    <cfRule type="cellIs" dxfId="5" priority="4" operator="equal">
      <formula>"CRITICO(MAS 30 DIAS)"</formula>
    </cfRule>
    <cfRule type="cellIs" dxfId="4" priority="5" operator="equal">
      <formula>"POR REALIZAR (ALERTA)"</formula>
    </cfRule>
    <cfRule type="cellIs" dxfId="3" priority="6" operator="equal">
      <formula>$J$4</formula>
    </cfRule>
    <cfRule type="cellIs" dxfId="2" priority="7" operator="equal">
      <formula>$J$3</formula>
    </cfRule>
    <cfRule type="cellIs" dxfId="1" priority="8" operator="equal">
      <formula>"INVENTARIADO"</formula>
    </cfRule>
    <cfRule type="cellIs" dxfId="0" priority="9" operator="equal">
      <formula>"PENDIENTE"</formula>
    </cfRule>
  </conditionalFormatting>
  <dataValidations count="2">
    <dataValidation type="list" allowBlank="1" showInputMessage="1" showErrorMessage="1" sqref="B3:B1048576" xr:uid="{00000000-0002-0000-0500-000000000000}">
      <formula1>$J$3:$J$56</formula1>
    </dataValidation>
    <dataValidation type="list" allowBlank="1" showInputMessage="1" showErrorMessage="1" sqref="G3:G1048576" xr:uid="{00000000-0002-0000-0500-000001000000}">
      <formula1>$Q$2:$Q$7</formula1>
    </dataValidation>
  </dataValidation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BODEGA 1</vt:lpstr>
      <vt:lpstr>BODEGA 2</vt:lpstr>
      <vt:lpstr>BODEGA 3</vt:lpstr>
      <vt:lpstr>BODEGA 4</vt:lpstr>
      <vt:lpstr>BODEGA 21</vt:lpstr>
      <vt:lpstr>BODEGA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Inventario Landi</dc:creator>
  <cp:lastModifiedBy>MPV9</cp:lastModifiedBy>
  <dcterms:created xsi:type="dcterms:W3CDTF">2026-10-09T15:11:36Z</dcterms:created>
  <dcterms:modified xsi:type="dcterms:W3CDTF">2026-10-19T16:50:22Z</dcterms:modified>
</cp:coreProperties>
</file>